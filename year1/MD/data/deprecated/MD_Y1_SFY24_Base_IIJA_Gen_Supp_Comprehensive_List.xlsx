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pic/Documents/GitHub/dw-dashboard/year1/MD/data/"/>
    </mc:Choice>
  </mc:AlternateContent>
  <xr:revisionPtr revIDLastSave="0" documentId="13_ncr:1_{846477E2-4F67-F24A-9F2C-CF9842EE5A86}" xr6:coauthVersionLast="47" xr6:coauthVersionMax="47" xr10:uidLastSave="{00000000-0000-0000-0000-000000000000}"/>
  <bookViews>
    <workbookView xWindow="0" yWindow="880" windowWidth="21140" windowHeight="21380" xr2:uid="{00000000-000D-0000-FFFF-FFFF00000000}"/>
  </bookViews>
  <sheets>
    <sheet name="PPL FY2022 SFY2024" sheetId="1" r:id="rId1"/>
  </sheets>
  <definedNames>
    <definedName name="_xlnm._FilterDatabase" localSheetId="0" hidden="1">'PPL FY2022 SFY2024'!$A$1:$AC$1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5" i="1" l="1"/>
</calcChain>
</file>

<file path=xl/sharedStrings.xml><?xml version="1.0" encoding="utf-8"?>
<sst xmlns="http://schemas.openxmlformats.org/spreadsheetml/2006/main" count="818" uniqueCount="344">
  <si>
    <t>Rank</t>
  </si>
  <si>
    <t>Points</t>
  </si>
  <si>
    <t>Project Title</t>
  </si>
  <si>
    <t>Project Number</t>
  </si>
  <si>
    <t>Benefited Population</t>
  </si>
  <si>
    <t>Problem Description</t>
  </si>
  <si>
    <t>Project Description</t>
  </si>
  <si>
    <t>Applicant Name</t>
  </si>
  <si>
    <t>County</t>
  </si>
  <si>
    <t>Leg District</t>
  </si>
  <si>
    <t>Cong District</t>
  </si>
  <si>
    <t>W/S</t>
  </si>
  <si>
    <t>PFA</t>
  </si>
  <si>
    <t>Public/Private</t>
  </si>
  <si>
    <t>System Size</t>
  </si>
  <si>
    <t>Disadvantaged</t>
  </si>
  <si>
    <t>Start Date</t>
  </si>
  <si>
    <t>End Date</t>
  </si>
  <si>
    <t>Total Cost ($)</t>
  </si>
  <si>
    <t>Green Cost ($)</t>
  </si>
  <si>
    <t>MDE Funding Requested ($)</t>
  </si>
  <si>
    <t>CD Code</t>
  </si>
  <si>
    <t>Loan Interest</t>
  </si>
  <si>
    <t>Audit</t>
  </si>
  <si>
    <t>Plan</t>
  </si>
  <si>
    <t>Green Type</t>
  </si>
  <si>
    <t>Design Date</t>
  </si>
  <si>
    <t>Project Type</t>
  </si>
  <si>
    <t>Compliance</t>
  </si>
  <si>
    <t>NEW WINTERS RUN WATER TREATMENT FACILITY</t>
  </si>
  <si>
    <t>DW0016</t>
  </si>
  <si>
    <t>70-YEAR OLD PLANT SITUATED IN 100-YR FLOOD PLAIN + TREATMENT REQUIRED FOR CRYPTOSPORIDIUM IN SUPPLY</t>
  </si>
  <si>
    <t>CONSTRUCT NEW 2 MGD WATER TREATMENT PLANT IN STAGES TO REPLACE AGING PLANT</t>
  </si>
  <si>
    <t>BARRY L. SUITS, MARYLAND AMERICAN WATER</t>
  </si>
  <si>
    <t>Harford</t>
  </si>
  <si>
    <t>34B</t>
  </si>
  <si>
    <t>N</t>
  </si>
  <si>
    <t>PRIVATE</t>
  </si>
  <si>
    <t>Large</t>
  </si>
  <si>
    <t>09/01/2022</t>
  </si>
  <si>
    <t>06/30/2024</t>
  </si>
  <si>
    <t>Y</t>
  </si>
  <si>
    <t>06/01/2021</t>
  </si>
  <si>
    <t>TREATMENT</t>
  </si>
  <si>
    <t>POCOMOKE CITY WIIN-CIPP LINING MARKET STREET MAINS - PHASE I</t>
  </si>
  <si>
    <t>DW0004</t>
  </si>
  <si>
    <t>HIGH RUST AND CONTAMINANTS IN WATER SYSTEM</t>
  </si>
  <si>
    <t>RELINE WATER MAINS USING CIPP LINING PROCESS</t>
  </si>
  <si>
    <t>LINDA MCNEIL, POCOMOKE CITY</t>
  </si>
  <si>
    <t>Worcester</t>
  </si>
  <si>
    <t>38A</t>
  </si>
  <si>
    <t>PUBLIC</t>
  </si>
  <si>
    <t>Small</t>
  </si>
  <si>
    <t>05/01/2023</t>
  </si>
  <si>
    <t>05/31/2024</t>
  </si>
  <si>
    <t>06/01/2022</t>
  </si>
  <si>
    <t>TRANSMISSION/DISTRIBUTION</t>
  </si>
  <si>
    <t>BRIERCREST APARTMENTS WATER SERVICE</t>
  </si>
  <si>
    <t>DW0017</t>
  </si>
  <si>
    <t>CONTAMINATED DRINKING WATER SOURCE SERVING 24 APARTMENT UNITS</t>
  </si>
  <si>
    <t>CONSTRUCT 94 LF OF 8-IN WATER MAIN TO CONNECT APARTMENTS TO FREDERICK CO CAMBRIDGE FARMS WATER SYSTEM (PWS MD 0100033)</t>
  </si>
  <si>
    <t>RODNEY WINEBRENNER, FREDERICK COUNTY</t>
  </si>
  <si>
    <t>Frederick</t>
  </si>
  <si>
    <t>3B</t>
  </si>
  <si>
    <t>10/01/2023</t>
  </si>
  <si>
    <t>12/31/2023</t>
  </si>
  <si>
    <t>01/01/2023</t>
  </si>
  <si>
    <t>WINCHESTER ROAD WATER LINE REPLACEMENT (LAVALE)</t>
  </si>
  <si>
    <t>DW0025</t>
  </si>
  <si>
    <t>AGING AND FAILING WATER MAIN REQUIRES REPLACEMENT</t>
  </si>
  <si>
    <t>REPLACE ~15,000 LF WATER TRANSMISSION MAIN ALONG WINCHESTER ROAD IN LAVALE</t>
  </si>
  <si>
    <t>DAVID S. WENDT, LAVALE SANITARY DISTRICT</t>
  </si>
  <si>
    <t>Allegany</t>
  </si>
  <si>
    <t>1B</t>
  </si>
  <si>
    <t>06/01/2023</t>
  </si>
  <si>
    <t>12/31/2024</t>
  </si>
  <si>
    <t>02/01/2022</t>
  </si>
  <si>
    <t>SPRINGFIELD WELLS / FAIRHAVEN WELL HOUSE</t>
  </si>
  <si>
    <t>DW0015</t>
  </si>
  <si>
    <t>PROVIDE A RELIABLE SUPPLEMENTAL AND BACKUP GROUNDWATER SUPPLY TO LIBERTY RESERVOIR</t>
  </si>
  <si>
    <t>DRILL 2 ADDITIONAL WELLS AND RESTORE FAIRHAVEN WELL AND WELLHOUSE TO OPERATING ORDER</t>
  </si>
  <si>
    <t>JEFFREY D. CASTONGUAY, BOARD OF CARROLL CO COMMISSIONERS</t>
  </si>
  <si>
    <t>Carroll</t>
  </si>
  <si>
    <t>9A</t>
  </si>
  <si>
    <t>03/01/2023</t>
  </si>
  <si>
    <t>03/01/2021</t>
  </si>
  <si>
    <t>SOURCE</t>
  </si>
  <si>
    <t>SPRINGVIEW MOBILE HOME PARK WATER SERVICE</t>
  </si>
  <si>
    <t>DW0021</t>
  </si>
  <si>
    <t>SOURCE DRINKING WATER CONTAMINATED WITH PFOA AND PFOS</t>
  </si>
  <si>
    <t>INSTALL 1,321 LF 8-IN WATER MAIN + 2-IN CONNECTION ETC TO CONNECT TO NEW DESIGN WATER SYS IN FRED CO</t>
  </si>
  <si>
    <t>11/01/2023</t>
  </si>
  <si>
    <t>03/31/2024</t>
  </si>
  <si>
    <t>COULBOURNE LANE WELL BACKUP POWER</t>
  </si>
  <si>
    <t>DW0002</t>
  </si>
  <si>
    <t>NO BACKUP POWER TO LARGEST PRODUCING WELL FOR WATER SYSTEM</t>
  </si>
  <si>
    <t>FURNISH AND INSTALL EMERGENCY GENERATOR AND AUTOMATIC TRANSFER SWITCH TO TOWN'S LARGEST PRODUCTION WELL</t>
  </si>
  <si>
    <t>RICK POLLITT, TOWN OF SNOW HILL</t>
  </si>
  <si>
    <t>38B</t>
  </si>
  <si>
    <t>07/31/2023</t>
  </si>
  <si>
    <t>07/01/2022</t>
  </si>
  <si>
    <t>EMMITSBURG NORTH SETON AVENUE WATER LINE REPLACEMENT</t>
  </si>
  <si>
    <t>DW0018</t>
  </si>
  <si>
    <t>WATER PRESSURE COMPLIANCE AND RESOLVE WATER QUALITY COMPLAINTS</t>
  </si>
  <si>
    <t>REPLACE 1,584 LF OF DETERIORATING 6-IN AND 4-IN UNLINED CAST IRON PIPING WITH NEW 8-IN DUCTILE IRON PIPE ALONG N. SETON AV</t>
  </si>
  <si>
    <t>CATHY WILLETS, TOWN OF EMMITSBURG</t>
  </si>
  <si>
    <t>4</t>
  </si>
  <si>
    <t>01/31/2024</t>
  </si>
  <si>
    <t>G</t>
  </si>
  <si>
    <t>EMMITSBURG DEPAUL STREET WATER LINE REPLACEMENT</t>
  </si>
  <si>
    <t>DW0019</t>
  </si>
  <si>
    <t>REPLACE 1,850 LF 6-IN AND 4-IN UNLINED CAST IRON PIPING WITH 8-IN DUCTILE IRON PIPE</t>
  </si>
  <si>
    <t>MACK WATER STORAGE TANK REPLACEMENT</t>
  </si>
  <si>
    <t>DW0034</t>
  </si>
  <si>
    <t>TANK HAS EXCEEDED USEFUL LIFE AND DEVELOPS LEAKS. EXTENDED REPAIRS LEAVE FIRE PROTECTION VULNERABLE.</t>
  </si>
  <si>
    <t>REPLACE 50+ YEAR OLD 1M GAL GROUND STORAGE TANK</t>
  </si>
  <si>
    <t>WILLIAM LUHN, CITY OF HAGERSTOWN -- UTILITIES DEPARTMENT</t>
  </si>
  <si>
    <t>Washington</t>
  </si>
  <si>
    <t>2C</t>
  </si>
  <si>
    <t>STORAGE</t>
  </si>
  <si>
    <t>POWHATAN STREET WATER MAIN REPLACEMENT</t>
  </si>
  <si>
    <t>DW0042</t>
  </si>
  <si>
    <t>BARE CAST IRON MAINS WITH TUBERCULATION AND BREAKS</t>
  </si>
  <si>
    <t>REPLACE 1.85 MI SMALL DIA 4-IN, 8-IN, 10-IN &amp; 12-IN WATER MAINS IN NEW CARROLLTON</t>
  </si>
  <si>
    <t>CAVILLE STANBURY-WOOLERY, WASHINGTON SUBURBAN SANITARY COMMISSION</t>
  </si>
  <si>
    <t>WSSC</t>
  </si>
  <si>
    <t>22</t>
  </si>
  <si>
    <t>07/31/2024</t>
  </si>
  <si>
    <t>10/01/2017</t>
  </si>
  <si>
    <t>HORIZON WAY WATER MAIN REPLACEMENT</t>
  </si>
  <si>
    <t>DW0041</t>
  </si>
  <si>
    <t>REPLACE 2.30 MI SMALL DIA 4-IN, 8-IN &amp; 10-IN WATER MAINS IN FORESTVILLE AND DISTRICT HGTS</t>
  </si>
  <si>
    <t>25</t>
  </si>
  <si>
    <t>10/31/2024</t>
  </si>
  <si>
    <t>04/01/2018</t>
  </si>
  <si>
    <t>TOWN OF GRANTSVILLE CHESTNUT RIDGE WATER SYSTEM</t>
  </si>
  <si>
    <t>DW0030</t>
  </si>
  <si>
    <t>AREA NOT SERVED BY PUBLIC WATER EXPERIENCING EXCESS SALT IN WELLS FROM RT 40</t>
  </si>
  <si>
    <t>CONSTRUCT NEW PUBLIC WATER SYSTEM FOR CHESTNUT RIDGE COMMUNITY, INCL 12-IN MAIN, NEW WTP, NEW WELL, &amp; NEW 470,000 GAL TANK</t>
  </si>
  <si>
    <t>ROBIN JONES, TOWN OF GRANTSVILLE</t>
  </si>
  <si>
    <t>Garrett</t>
  </si>
  <si>
    <t>1A</t>
  </si>
  <si>
    <t>08/31/2024</t>
  </si>
  <si>
    <t>03/01/2022</t>
  </si>
  <si>
    <t>OTHER</t>
  </si>
  <si>
    <t>BOONSBORO DRINKING WATER RESERVOIR REPLACEMENT</t>
  </si>
  <si>
    <t>DW0036</t>
  </si>
  <si>
    <t>1.5M GAL DRINKING WATER RESERVOIR LEAKS 15,000-25,000 GPD</t>
  </si>
  <si>
    <t>REPLACE LEAKING DRINKING WATER IMPOUNDMENT WITH PRESTRESSED CONCRETE SPLIT-TANK RESERVOIR</t>
  </si>
  <si>
    <t>PAUL MANTELLO, TOWN OF BOONSBORO</t>
  </si>
  <si>
    <t>2A</t>
  </si>
  <si>
    <t>W</t>
  </si>
  <si>
    <t>MONTGOMERY KNOLLS WATER MAIN REPLACEMENT</t>
  </si>
  <si>
    <t>DW0040</t>
  </si>
  <si>
    <t>REPLACE 2.77 MI SMALL DIA 8-IN &amp; 10-IN WATER MAINS</t>
  </si>
  <si>
    <t>20</t>
  </si>
  <si>
    <t>10/01/2019</t>
  </si>
  <si>
    <t>WC-1199 ASHBURTON PUMPING STATION REHABILITATION</t>
  </si>
  <si>
    <t>DW0007</t>
  </si>
  <si>
    <t>PUMP STATION FOR ASHBURTON RESERVOIR IS AGING/UNRELIABLE</t>
  </si>
  <si>
    <t>CONSTRUCT MAJOR MODS TO HYDRAULIC, MECHANICAL, AND ELECTRICAL SYSTEMS AS WELL AS THE STRUCTURE</t>
  </si>
  <si>
    <t>AARON MOORE, MAYOR AND CITY COUNCIL OF BALTIMORE</t>
  </si>
  <si>
    <t>Baltimore City</t>
  </si>
  <si>
    <t>41</t>
  </si>
  <si>
    <t>07/01/2023</t>
  </si>
  <si>
    <t>07/31/2027</t>
  </si>
  <si>
    <t>07/01/2014</t>
  </si>
  <si>
    <t>DW0022</t>
  </si>
  <si>
    <t>?</t>
  </si>
  <si>
    <t>ROBERT BURROS, BALTIMORE COUNTY, MARYLAND</t>
  </si>
  <si>
    <t>Baltimore County</t>
  </si>
  <si>
    <t>YOURTEE SPRINGS WATER DISTRIBUTION</t>
  </si>
  <si>
    <t>DW0020</t>
  </si>
  <si>
    <t>FREQUENT BREAKS - 85-YEAR-OLD WATER LINE SUPPLIES 20% OF DRINKING WATER TO CITY OF BRUNSWICK - OUTAGES AND CONTAMINATION</t>
  </si>
  <si>
    <t>RE-LINE THE ENTIRE 8-MILE YOURTEE DISTRIBUTION LINE</t>
  </si>
  <si>
    <t>DAVID DUNN, MAYOR &amp; COUNCIL CITY OF BRUNSWICK</t>
  </si>
  <si>
    <t>4/6</t>
  </si>
  <si>
    <t>12/01/2022</t>
  </si>
  <si>
    <t>TOWN OF WESTERNPORT - WATER DISTRIBUTION SYSTEM IMPROVEMENTS - PHASES 5-7</t>
  </si>
  <si>
    <t>DW0038</t>
  </si>
  <si>
    <t>FAILING WATER MAINS OVER 100 YR OLD. CONTINUATION OF REPLACEMENTS.</t>
  </si>
  <si>
    <t>REPLACE 53,000 LF WATER MAINS, 2 PUMP STATIONS, 2 GROUND-MOUNTED WATER STORAGE TANKS, VALVES, HYDRANTS, &amp; APPURTENANCES</t>
  </si>
  <si>
    <t>AARON LATTANZIA, TOWN OF WESTERNPORT</t>
  </si>
  <si>
    <t>12/01/2023</t>
  </si>
  <si>
    <t>07/01/2019</t>
  </si>
  <si>
    <t>TRANSMISSION MAINS REPLACEMENT-HAGERSTOWN</t>
  </si>
  <si>
    <t>DW0033</t>
  </si>
  <si>
    <t>DETERIORATED 90+ YEAR OLD TRANSMISSION MAIN PIPING WITH INCREASING FAILURES</t>
  </si>
  <si>
    <t>PHASE 2 OF MULTI-PHASE PROJ. REPLACE 6,000 LF OF 2 PARALLEL 24-IN MAINS WITH DUCTILE IRON 36-IN MAINS</t>
  </si>
  <si>
    <t>12/31/2026</t>
  </si>
  <si>
    <t>FRANKLIN AVENUE WELL REPLACEMENT</t>
  </si>
  <si>
    <t>DW0003</t>
  </si>
  <si>
    <t>WELL #2 IS 58 YEARS OLD AND HAS OUTLIVED ITS USEFUL LIFE - REPLACEMENT NEEDED FOR REDUNDANT WATER SUPPLY TO SYSTEM</t>
  </si>
  <si>
    <t>BUILD TEST WELL AND REPLACE WELL #2</t>
  </si>
  <si>
    <t>JEFF FLEETWOOD, TOWN OF BERLIN</t>
  </si>
  <si>
    <t>38C</t>
  </si>
  <si>
    <t>08/31/2023</t>
  </si>
  <si>
    <t>TOWN OF GRANTSVILLE WATER IMPROVEMENT PROJECT</t>
  </si>
  <si>
    <t>DW0031</t>
  </si>
  <si>
    <t>GRANTSVILLE WATER LEAKS, SERVICE SPRINGS GO DRY IN SUMMER, AGING INFRASTRUCTURE FROM 1930S</t>
  </si>
  <si>
    <t>CONSOLIDATE GRANTSVILLE WTP AND GREEN WTP, ABANDON GRANTSVILLE WTP, EXPAND GREEN WTP CAPACITY + ADD 420,000-GAL TANK AT GREEN</t>
  </si>
  <si>
    <t>MOUNTAIN LAKE PARK &amp; LOCH LYNN HEIGHTS WATER LINE REPLACEMENT PROJECT</t>
  </si>
  <si>
    <t>DW0029</t>
  </si>
  <si>
    <t>DETERIORATING PIPES LEAKING &gt;40% INTO SURROUNDING AREA. AREAS OF LOW WATER PRESSURE AND LOW FIRE FLOW</t>
  </si>
  <si>
    <t>REPLACE 133,075 LF WATER LINE WITH ADEQUATELY SIZED PIPES</t>
  </si>
  <si>
    <t>BOBBY WITT, GARRETT COUNTY SANITARY DISTRICT</t>
  </si>
  <si>
    <t>08/01/2023</t>
  </si>
  <si>
    <t>09/30/2028</t>
  </si>
  <si>
    <t>MIDLAND/GILMORE RAW WATER STORAGE TANK</t>
  </si>
  <si>
    <t>DW0027</t>
  </si>
  <si>
    <t>DAM INSPECTION CLASSIFIED A HIGH HAZARD POTENTIAL AND RATED UNSAFE</t>
  </si>
  <si>
    <t>DECOMMISSION EXISTING MIDLAND GILMORE RESERVOIR, RESTORE ELK LICK RUN, AND CONSTRUCT 6 MG RAW WATER STORAGE TANK</t>
  </si>
  <si>
    <t>TYLER RAYNER, TOWN OF LONACONING</t>
  </si>
  <si>
    <t>11/30/2024</t>
  </si>
  <si>
    <t>DEHAVEN/MASON ROAD WATER PROJECT</t>
  </si>
  <si>
    <t>DW0026</t>
  </si>
  <si>
    <t>50+ YR OLD WATER LINES CANNOT BE MAINTAINED BY 2 PVT WATER COMPANIES. TAKEOVER BY ALLEGANY CO WILL ENABLE TECH/MGRL COMPLIANCE</t>
  </si>
  <si>
    <t>REPLACE ~8,000 FT NEW WATER LINE + 35 WATER CONNECTIONS AND APPURTENANCES</t>
  </si>
  <si>
    <t>JIM WEBBER, ALLEGANY COUNTY COMMISSIONERS</t>
  </si>
  <si>
    <t>NEW WINDSOR MD ROUTE 31 WATER MAIN IMPROVEMENTS</t>
  </si>
  <si>
    <t>DW0014</t>
  </si>
  <si>
    <t>AGING AND INADEQUATE SUPPLY LINES THAT DO NOT MEET CURRENT CODE</t>
  </si>
  <si>
    <t>CONSTRUCT NEW PARALLEL WATER DISTRIB SYSTEM - 3900 FT 12-IN + 400 FT 8-IN + 450 FT 6-IN WATER PIPES + APPURTENANCES</t>
  </si>
  <si>
    <t>GARY P. DYE JR., TOWN OF NEW WINDSOR</t>
  </si>
  <si>
    <t>5</t>
  </si>
  <si>
    <t>08/01/2022</t>
  </si>
  <si>
    <t>06/01/2017</t>
  </si>
  <si>
    <t>SHARPSBURG WATER METER CRADLE REPLACEMENT</t>
  </si>
  <si>
    <t>DW0032</t>
  </si>
  <si>
    <t>CURRENT WATER METERS AND CRADLES CONTAIN LEAD</t>
  </si>
  <si>
    <t>REPLACE EXISTING WATER METERS AND CRADLES</t>
  </si>
  <si>
    <t>MARK BRADSHAW, WASHINGTON COUNTY BOARD OF COUNTY COMMISSIONERS</t>
  </si>
  <si>
    <t>05/01/2022</t>
  </si>
  <si>
    <t>SOUTH END WATER MAIN REPLACEMENT PROJECT (NO. 2-22-W)</t>
  </si>
  <si>
    <t>DW0028</t>
  </si>
  <si>
    <t>CAST IRON WATER MAINS, MOST OVER 120 YR OLD, FREQUENT BREAKS</t>
  </si>
  <si>
    <t>REPLACE 7,000 LF 12-IN AND 5,000 LF 6-IN WATER MAINS</t>
  </si>
  <si>
    <t>ROBERT SMITH, MAYOR AND CITY COUNCIL OF CUMBERLAND</t>
  </si>
  <si>
    <t>1</t>
  </si>
  <si>
    <t>08/01/2024</t>
  </si>
  <si>
    <t>05/31/2025</t>
  </si>
  <si>
    <t>WC-1243 CROMWELL PUMPING STATION REHABILITATION</t>
  </si>
  <si>
    <t>DW0006</t>
  </si>
  <si>
    <t>AGING PUMPING STATION NECESSARY PART OF SYSTEM TO PROVIDE SAFE/RELIABLE DRINKING WATER</t>
  </si>
  <si>
    <t>CONSTRUCT REPAIR/REPLACE/REHAB OF EQUIPMENT, SYSTEMS, AND STRUCTURE INC. CHLORINATION SYSTEM</t>
  </si>
  <si>
    <t>8</t>
  </si>
  <si>
    <t>07/31/2026</t>
  </si>
  <si>
    <t>07/01/2015</t>
  </si>
  <si>
    <t>DW0024</t>
  </si>
  <si>
    <t>RC WILLSON WTP CHEMICAL UPGRADE</t>
  </si>
  <si>
    <t>DW0035</t>
  </si>
  <si>
    <t>WTP CANNOT RECEIVE CHEMICAL DELIVERIES DURING HIGH WATER EVENTS</t>
  </si>
  <si>
    <t>EXPAND STORAGE CAPACITY OF PRIMARY COAGULANT POLYMER TANKS + INSTALL CHLORINE SCRUBBER TO NEUTRALIZE CHLORINE LEAK OF 2,000LB</t>
  </si>
  <si>
    <t>WC-1281 SOUTH ST &amp; VICINITY (DOWNTOWN) WATER MAIN REPLACEMENT</t>
  </si>
  <si>
    <t>DW0009</t>
  </si>
  <si>
    <t>DETERIORATION OF UNLINED CAST IRON PIPE PAST ITS USEFUL LIFE</t>
  </si>
  <si>
    <t>REPLACE 11,761 LF 3-IN THROUGH 20-IN DIA PIPE IN 1ST PRESSURE ZONE</t>
  </si>
  <si>
    <t>46</t>
  </si>
  <si>
    <t>WC-1318 DOWNTOWN, BOLTON HILL, GUILFORD NEIGHBORHOODS &amp; VICINITY WATER MAIN REPL</t>
  </si>
  <si>
    <t>DW0011</t>
  </si>
  <si>
    <t>REPLACE 30,995 LF 3-IN THROUGH 20-IN DIA PIPE IN 1ST, 2ND AND 3RD E PRESSURE ZONES</t>
  </si>
  <si>
    <t>REG</t>
  </si>
  <si>
    <t>09/01/2023</t>
  </si>
  <si>
    <t>03/31/2026</t>
  </si>
  <si>
    <t>WC-1322 BELAIR RD NEIGHBORHOOD AND VICINITY WM REPLACEMENTS</t>
  </si>
  <si>
    <t>DW0013</t>
  </si>
  <si>
    <t>REPLACE 19,202 LF 6-IN THROUGH 16-IN DIA PIPE IN 2ND PRESSURE ZONE</t>
  </si>
  <si>
    <t>45</t>
  </si>
  <si>
    <t>3,7</t>
  </si>
  <si>
    <t>11/30/2025</t>
  </si>
  <si>
    <t>WC-1229 VERNON PUMPING STATION REHABILITATION</t>
  </si>
  <si>
    <t>DW0005</t>
  </si>
  <si>
    <t>CONSTRUCT REPAIR/REPLACE/REHAB OF EQUIPMENT, SYSTEMS AND STRUCTURE INC. INSTALLATION OF EMERGENCY GENERATOR</t>
  </si>
  <si>
    <t>43</t>
  </si>
  <si>
    <t>07/31/2025</t>
  </si>
  <si>
    <t>08/01/2015</t>
  </si>
  <si>
    <t>DW0023</t>
  </si>
  <si>
    <t>SMITHSBURG WATER STREET WATER LINE REPLACEMENT PROJECT</t>
  </si>
  <si>
    <t>DW0037</t>
  </si>
  <si>
    <t>LACK OF WATER PRESSURE, ESPECIALLY IN THE EVENT OF FIRE SUPPRESSION. REMOVE CAST IRON PIPES AND LEAD JOINTS.</t>
  </si>
  <si>
    <t>REPLACE ALL WATER LINES, SEWER LINES, AND UPDATE STORM WATER MANAGEMENT AT STREET LEVEL</t>
  </si>
  <si>
    <t>CHAD ROONEY, TOWN OF SMITHSBURG</t>
  </si>
  <si>
    <t>ANACOSTIA DEPOT RECONFIGURATION</t>
  </si>
  <si>
    <t>DW0043</t>
  </si>
  <si>
    <t>IMPROVE EFFICIENCY OF OPERATIONS, FLOODPLAIN VULNERABILITIES OF LARGEST WSSC WATER DEPOT</t>
  </si>
  <si>
    <t>RECONFIGURATION OF ANACOSTIA DEPOT LAYOUT, INCL ACCESS, CIRCULATION, AND RENOVATION OF BLDGS UP TO CURRENT CODE</t>
  </si>
  <si>
    <t>BRIAN HALLORAN, WASHINGTON SUBURBAN SANITARY COMMISSION</t>
  </si>
  <si>
    <t>47A</t>
  </si>
  <si>
    <t>07/01/2021</t>
  </si>
  <si>
    <t>WC-1279 DISTRIBUTION WATER MAIN REPLACEMENT &amp; REHAB SEFTON AREA &amp; VICINITY</t>
  </si>
  <si>
    <t>DW0008</t>
  </si>
  <si>
    <t>REPLACE 19,420 LF 6-IN THROUGH 12-IN DIA PIPE IN 3RD E PRESSURE ZONE</t>
  </si>
  <si>
    <t>09/30/2024</t>
  </si>
  <si>
    <t>12/01/2021</t>
  </si>
  <si>
    <t>WC-1313 UPPER FELLS POINT &amp; WEST CANTON</t>
  </si>
  <si>
    <t>DW0010</t>
  </si>
  <si>
    <t>REPLACE 25,924 LF 4-IN THROUGH 20-IN+30-IN+40-IN DIA PIPE IN 1ST AND 2ND PRESSURE ZONE</t>
  </si>
  <si>
    <t>WC-1319 KESWICK ROAD, WEST 36TH STREET &amp; YORK ROAD WATER MAIN REPL</t>
  </si>
  <si>
    <t>DW0012</t>
  </si>
  <si>
    <t>REPLACE 12,171 LF 4-IN THROUGH 20-IN DIA PIPE IN 2ND AND 3RD E PRESSURE ZONES</t>
  </si>
  <si>
    <t>04/01/2022</t>
  </si>
  <si>
    <t>BEACHES WATER CO-OP (BWC) REDUCING LEAD IN DRINKING WATER SERVICE LINE REPL</t>
  </si>
  <si>
    <t>DW0039</t>
  </si>
  <si>
    <t>AGED PIPING AND FITTINGS WITH LEAD CONTAMINATION</t>
  </si>
  <si>
    <t>REPLACE 2-IN OD OR LESS SECONDARY SERVICE LINES AND FITTINGS UP TO EACH RESIDENTIAL METER</t>
  </si>
  <si>
    <t>DENNIS DIBELLO, BEACHES WATER CO-OP</t>
  </si>
  <si>
    <t>Calvert</t>
  </si>
  <si>
    <t>09/30/2025</t>
  </si>
  <si>
    <t>MARTINGHAM SMART WATER METER</t>
  </si>
  <si>
    <t>DW0001</t>
  </si>
  <si>
    <t>REPLACE OLD, INACCURATE, DIFFICULT-TO-READ WATER METERS WITH SMART METERS</t>
  </si>
  <si>
    <t>INSTALLATION OF SMART METER FOR 313 RESIDENTIAL PROPERTIES + 2 COMMERCIAL PROPERTIES</t>
  </si>
  <si>
    <t>JAY T. FRENCH, MARTINGHAM UTILITIES COOPERATIVE</t>
  </si>
  <si>
    <t>Talbot</t>
  </si>
  <si>
    <t>37B</t>
  </si>
  <si>
    <t>04/01/2023</t>
  </si>
  <si>
    <t>pwsid</t>
  </si>
  <si>
    <t>MD0120003</t>
  </si>
  <si>
    <t>MD023006</t>
  </si>
  <si>
    <t>MD0100004</t>
  </si>
  <si>
    <t>MD0010016</t>
  </si>
  <si>
    <t>MD0100030</t>
  </si>
  <si>
    <t>MD0230007</t>
  </si>
  <si>
    <t>MD0100010</t>
  </si>
  <si>
    <t>MD0210010</t>
  </si>
  <si>
    <t>MD0150005</t>
  </si>
  <si>
    <t>MD</t>
  </si>
  <si>
    <t>MD0210002</t>
  </si>
  <si>
    <t>MD0300002</t>
  </si>
  <si>
    <t>MD0100005</t>
  </si>
  <si>
    <t>MD0010033</t>
  </si>
  <si>
    <t>MD210010</t>
  </si>
  <si>
    <t>MD0230001</t>
  </si>
  <si>
    <t>MD0110007</t>
  </si>
  <si>
    <t>MD0060008</t>
  </si>
  <si>
    <t>MD0210017</t>
  </si>
  <si>
    <t>MD0010008</t>
  </si>
  <si>
    <t>MD3000002</t>
  </si>
  <si>
    <t>MD300002</t>
  </si>
  <si>
    <t>MD0210018</t>
  </si>
  <si>
    <t>MD0200004</t>
  </si>
  <si>
    <t>requested_funding</t>
  </si>
  <si>
    <t>MD006002</t>
  </si>
  <si>
    <t>MD0010018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</si>
</sst>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164" fontId="0" fillId="0" borderId="0" xfId="0" applyNumberFormat="1"/>
    <xf numFmtId="0" fontId="2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5"/>
  <sheetViews>
    <sheetView tabSelected="1" topLeftCell="P1" zoomScale="150" zoomScaleNormal="150" workbookViewId="0">
      <pane ySplit="1" topLeftCell="A2" activePane="bottomLeft" state="frozen"/>
      <selection pane="bottomLeft" activeCell="A18" sqref="A18:XFD18"/>
    </sheetView>
  </sheetViews>
  <sheetFormatPr baseColWidth="10" defaultColWidth="8.83203125" defaultRowHeight="15" x14ac:dyDescent="0.2"/>
  <cols>
    <col min="1" max="1" width="6" customWidth="1"/>
    <col min="2" max="2" width="7" customWidth="1"/>
    <col min="3" max="3" width="52" customWidth="1"/>
    <col min="4" max="4" width="10" customWidth="1"/>
    <col min="5" max="5" width="12" customWidth="1"/>
    <col min="6" max="6" width="60" customWidth="1"/>
    <col min="7" max="7" width="65" customWidth="1"/>
    <col min="8" max="8" width="45" customWidth="1"/>
    <col min="9" max="9" width="14" customWidth="1"/>
    <col min="10" max="10" width="10" customWidth="1"/>
    <col min="11" max="11" width="8" customWidth="1"/>
    <col min="12" max="13" width="6" customWidth="1"/>
    <col min="14" max="14" width="10" customWidth="1"/>
    <col min="15" max="16" width="8" customWidth="1"/>
    <col min="17" max="18" width="12" customWidth="1"/>
    <col min="19" max="19" width="15" customWidth="1"/>
    <col min="20" max="20" width="13" customWidth="1"/>
    <col min="21" max="21" width="17" customWidth="1"/>
    <col min="22" max="22" width="7" customWidth="1"/>
    <col min="23" max="23" width="10" customWidth="1"/>
    <col min="24" max="25" width="6" customWidth="1"/>
    <col min="26" max="26" width="8" customWidth="1"/>
    <col min="27" max="27" width="12" customWidth="1"/>
    <col min="28" max="28" width="25" customWidth="1"/>
    <col min="29" max="29" width="10" customWidth="1"/>
    <col min="30" max="30" width="11.5" customWidth="1"/>
    <col min="31" max="31" width="10.1640625" bestFit="1" customWidth="1"/>
  </cols>
  <sheetData>
    <row r="1" spans="1:31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t="s">
        <v>316</v>
      </c>
      <c r="AE1" t="s">
        <v>341</v>
      </c>
    </row>
    <row r="2" spans="1:31" ht="26" x14ac:dyDescent="0.2">
      <c r="A2" s="2">
        <v>1</v>
      </c>
      <c r="B2" s="2">
        <v>117</v>
      </c>
      <c r="C2" s="2" t="s">
        <v>29</v>
      </c>
      <c r="D2" s="2" t="s">
        <v>30</v>
      </c>
      <c r="E2" s="2">
        <v>15500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>
        <v>1</v>
      </c>
      <c r="L2" s="2" t="s">
        <v>36</v>
      </c>
      <c r="M2" s="2">
        <v>3</v>
      </c>
      <c r="N2" s="2" t="s">
        <v>37</v>
      </c>
      <c r="O2" s="2" t="s">
        <v>38</v>
      </c>
      <c r="P2" s="2">
        <v>0</v>
      </c>
      <c r="Q2" s="2" t="s">
        <v>39</v>
      </c>
      <c r="R2" s="2" t="s">
        <v>40</v>
      </c>
      <c r="S2" s="3">
        <v>18000000</v>
      </c>
      <c r="T2" s="3">
        <v>9000000</v>
      </c>
      <c r="U2" s="3">
        <v>9000000</v>
      </c>
      <c r="V2" s="2">
        <v>1</v>
      </c>
      <c r="W2" s="2" t="s">
        <v>41</v>
      </c>
      <c r="X2" s="2" t="s">
        <v>41</v>
      </c>
      <c r="Y2" s="2" t="s">
        <v>41</v>
      </c>
      <c r="Z2" s="2"/>
      <c r="AA2" s="2" t="s">
        <v>42</v>
      </c>
      <c r="AB2" s="2" t="s">
        <v>43</v>
      </c>
      <c r="AC2" s="2"/>
      <c r="AD2" t="s">
        <v>317</v>
      </c>
      <c r="AE2">
        <v>9000000</v>
      </c>
    </row>
    <row r="3" spans="1:31" ht="26" x14ac:dyDescent="0.2">
      <c r="A3" s="4">
        <v>2</v>
      </c>
      <c r="B3" s="4">
        <v>110</v>
      </c>
      <c r="C3" s="4" t="s">
        <v>44</v>
      </c>
      <c r="D3" s="4" t="s">
        <v>45</v>
      </c>
      <c r="E3" s="4">
        <v>4075</v>
      </c>
      <c r="F3" s="4" t="s">
        <v>46</v>
      </c>
      <c r="G3" s="4" t="s">
        <v>47</v>
      </c>
      <c r="H3" s="4" t="s">
        <v>48</v>
      </c>
      <c r="I3" s="4" t="s">
        <v>49</v>
      </c>
      <c r="J3" s="4" t="s">
        <v>50</v>
      </c>
      <c r="K3" s="4">
        <v>1</v>
      </c>
      <c r="L3" s="4" t="s">
        <v>41</v>
      </c>
      <c r="M3" s="4">
        <v>2</v>
      </c>
      <c r="N3" s="4" t="s">
        <v>51</v>
      </c>
      <c r="O3" s="4" t="s">
        <v>52</v>
      </c>
      <c r="P3" s="4">
        <v>1</v>
      </c>
      <c r="Q3" s="4" t="s">
        <v>53</v>
      </c>
      <c r="R3" s="4" t="s">
        <v>54</v>
      </c>
      <c r="S3" s="5">
        <v>2256700</v>
      </c>
      <c r="T3" s="5">
        <v>843923</v>
      </c>
      <c r="U3" s="5">
        <v>0</v>
      </c>
      <c r="V3" s="4">
        <v>1</v>
      </c>
      <c r="W3" s="4"/>
      <c r="X3" s="4" t="s">
        <v>41</v>
      </c>
      <c r="Y3" s="4"/>
      <c r="Z3" s="4"/>
      <c r="AA3" s="4" t="s">
        <v>55</v>
      </c>
      <c r="AB3" s="4" t="s">
        <v>56</v>
      </c>
      <c r="AC3" s="4" t="s">
        <v>41</v>
      </c>
      <c r="AD3" t="s">
        <v>318</v>
      </c>
      <c r="AE3">
        <v>843923</v>
      </c>
    </row>
    <row r="4" spans="1:31" ht="26" x14ac:dyDescent="0.2">
      <c r="A4" s="2">
        <v>3</v>
      </c>
      <c r="B4" s="2">
        <v>100</v>
      </c>
      <c r="C4" s="2" t="s">
        <v>57</v>
      </c>
      <c r="D4" s="2" t="s">
        <v>58</v>
      </c>
      <c r="E4" s="2">
        <v>60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63</v>
      </c>
      <c r="K4" s="2">
        <v>6</v>
      </c>
      <c r="L4" s="2" t="s">
        <v>41</v>
      </c>
      <c r="M4" s="2" t="s">
        <v>41</v>
      </c>
      <c r="N4" s="2" t="s">
        <v>37</v>
      </c>
      <c r="O4" s="2" t="s">
        <v>52</v>
      </c>
      <c r="P4" s="2">
        <v>0</v>
      </c>
      <c r="Q4" s="2" t="s">
        <v>64</v>
      </c>
      <c r="R4" s="2" t="s">
        <v>65</v>
      </c>
      <c r="S4" s="3">
        <v>121178</v>
      </c>
      <c r="T4" s="3">
        <v>121178</v>
      </c>
      <c r="U4" s="3">
        <v>121178</v>
      </c>
      <c r="V4" s="2">
        <v>1</v>
      </c>
      <c r="W4" s="2" t="s">
        <v>41</v>
      </c>
      <c r="X4" s="2"/>
      <c r="Y4" s="2"/>
      <c r="Z4" s="2"/>
      <c r="AA4" s="2" t="s">
        <v>66</v>
      </c>
      <c r="AB4" s="2" t="s">
        <v>56</v>
      </c>
      <c r="AC4" s="2" t="s">
        <v>41</v>
      </c>
      <c r="AD4" t="s">
        <v>319</v>
      </c>
      <c r="AE4">
        <v>121178</v>
      </c>
    </row>
    <row r="5" spans="1:31" ht="26" x14ac:dyDescent="0.2">
      <c r="A5" s="4">
        <v>4</v>
      </c>
      <c r="B5" s="4">
        <v>97</v>
      </c>
      <c r="C5" s="4" t="s">
        <v>67</v>
      </c>
      <c r="D5" s="4" t="s">
        <v>68</v>
      </c>
      <c r="E5" s="4">
        <v>6218</v>
      </c>
      <c r="F5" s="4" t="s">
        <v>69</v>
      </c>
      <c r="G5" s="4" t="s">
        <v>70</v>
      </c>
      <c r="H5" s="4" t="s">
        <v>71</v>
      </c>
      <c r="I5" s="4" t="s">
        <v>72</v>
      </c>
      <c r="J5" s="4" t="s">
        <v>73</v>
      </c>
      <c r="K5" s="4">
        <v>6</v>
      </c>
      <c r="L5" s="4" t="s">
        <v>41</v>
      </c>
      <c r="M5" s="4" t="s">
        <v>41</v>
      </c>
      <c r="N5" s="4" t="s">
        <v>51</v>
      </c>
      <c r="O5" s="4" t="s">
        <v>52</v>
      </c>
      <c r="P5" s="4">
        <v>1</v>
      </c>
      <c r="Q5" s="4" t="s">
        <v>74</v>
      </c>
      <c r="R5" s="4" t="s">
        <v>75</v>
      </c>
      <c r="S5" s="5">
        <v>5072800</v>
      </c>
      <c r="T5" s="5">
        <v>4602800</v>
      </c>
      <c r="U5" s="5">
        <v>4602800</v>
      </c>
      <c r="V5" s="4">
        <v>1</v>
      </c>
      <c r="W5" s="4" t="s">
        <v>41</v>
      </c>
      <c r="X5" s="4" t="s">
        <v>41</v>
      </c>
      <c r="Y5" s="4" t="s">
        <v>41</v>
      </c>
      <c r="Z5" s="4"/>
      <c r="AA5" s="4" t="s">
        <v>76</v>
      </c>
      <c r="AB5" s="4" t="s">
        <v>56</v>
      </c>
      <c r="AC5" s="4"/>
      <c r="AD5" t="s">
        <v>320</v>
      </c>
      <c r="AE5">
        <v>4602800</v>
      </c>
    </row>
    <row r="6" spans="1:31" ht="26" x14ac:dyDescent="0.2">
      <c r="A6" s="2">
        <v>5</v>
      </c>
      <c r="B6" s="2">
        <v>97</v>
      </c>
      <c r="C6" s="2" t="s">
        <v>77</v>
      </c>
      <c r="D6" s="2" t="s">
        <v>78</v>
      </c>
      <c r="E6" s="2">
        <v>32673</v>
      </c>
      <c r="F6" s="2" t="s">
        <v>79</v>
      </c>
      <c r="G6" s="2" t="s">
        <v>80</v>
      </c>
      <c r="H6" s="2" t="s">
        <v>81</v>
      </c>
      <c r="I6" s="2" t="s">
        <v>82</v>
      </c>
      <c r="J6" s="2" t="s">
        <v>83</v>
      </c>
      <c r="K6" s="2">
        <v>8</v>
      </c>
      <c r="L6" s="2" t="s">
        <v>36</v>
      </c>
      <c r="M6" s="2" t="s">
        <v>41</v>
      </c>
      <c r="N6" s="2" t="s">
        <v>51</v>
      </c>
      <c r="O6" s="2" t="s">
        <v>38</v>
      </c>
      <c r="P6" s="2">
        <v>0</v>
      </c>
      <c r="Q6" s="2" t="s">
        <v>84</v>
      </c>
      <c r="R6" s="2" t="s">
        <v>54</v>
      </c>
      <c r="S6" s="3">
        <v>4030000</v>
      </c>
      <c r="T6" s="3">
        <v>1000000</v>
      </c>
      <c r="U6" s="3">
        <v>0</v>
      </c>
      <c r="V6" s="2">
        <v>1</v>
      </c>
      <c r="W6" s="2"/>
      <c r="X6" s="2" t="s">
        <v>41</v>
      </c>
      <c r="Y6" s="2"/>
      <c r="Z6" s="2"/>
      <c r="AA6" s="2" t="s">
        <v>85</v>
      </c>
      <c r="AB6" s="2" t="s">
        <v>86</v>
      </c>
      <c r="AC6" s="2"/>
      <c r="AD6" t="s">
        <v>342</v>
      </c>
      <c r="AE6">
        <v>1000000</v>
      </c>
    </row>
    <row r="7" spans="1:31" ht="26" x14ac:dyDescent="0.2">
      <c r="A7" s="4">
        <v>6</v>
      </c>
      <c r="B7" s="4">
        <v>95</v>
      </c>
      <c r="C7" s="4" t="s">
        <v>87</v>
      </c>
      <c r="D7" s="4" t="s">
        <v>88</v>
      </c>
      <c r="E7" s="4">
        <v>93</v>
      </c>
      <c r="F7" s="4" t="s">
        <v>89</v>
      </c>
      <c r="G7" s="4" t="s">
        <v>90</v>
      </c>
      <c r="H7" s="4" t="s">
        <v>61</v>
      </c>
      <c r="I7" s="4" t="s">
        <v>62</v>
      </c>
      <c r="J7" s="4" t="s">
        <v>63</v>
      </c>
      <c r="K7" s="4">
        <v>8</v>
      </c>
      <c r="L7" s="4" t="s">
        <v>41</v>
      </c>
      <c r="M7" s="4" t="s">
        <v>41</v>
      </c>
      <c r="N7" s="4" t="s">
        <v>51</v>
      </c>
      <c r="O7" s="4" t="s">
        <v>38</v>
      </c>
      <c r="P7" s="4">
        <v>0</v>
      </c>
      <c r="Q7" s="4" t="s">
        <v>91</v>
      </c>
      <c r="R7" s="4" t="s">
        <v>92</v>
      </c>
      <c r="S7" s="5">
        <v>632772</v>
      </c>
      <c r="T7" s="5">
        <v>632772</v>
      </c>
      <c r="U7" s="5">
        <v>632772</v>
      </c>
      <c r="V7" s="4">
        <v>1</v>
      </c>
      <c r="W7" s="4" t="s">
        <v>41</v>
      </c>
      <c r="X7" s="4"/>
      <c r="Y7" s="4"/>
      <c r="Z7" s="4"/>
      <c r="AA7" s="4" t="s">
        <v>66</v>
      </c>
      <c r="AB7" s="4" t="s">
        <v>56</v>
      </c>
      <c r="AC7" s="4" t="s">
        <v>41</v>
      </c>
      <c r="AD7" t="s">
        <v>321</v>
      </c>
      <c r="AE7">
        <v>632772</v>
      </c>
    </row>
    <row r="8" spans="1:31" ht="26" x14ac:dyDescent="0.2">
      <c r="A8" s="2">
        <v>7</v>
      </c>
      <c r="B8" s="2">
        <v>90</v>
      </c>
      <c r="C8" s="2" t="s">
        <v>93</v>
      </c>
      <c r="D8" s="2" t="s">
        <v>94</v>
      </c>
      <c r="E8" s="2">
        <v>2150</v>
      </c>
      <c r="F8" s="2" t="s">
        <v>95</v>
      </c>
      <c r="G8" s="2" t="s">
        <v>96</v>
      </c>
      <c r="H8" s="2" t="s">
        <v>97</v>
      </c>
      <c r="I8" s="2" t="s">
        <v>49</v>
      </c>
      <c r="J8" s="2" t="s">
        <v>98</v>
      </c>
      <c r="K8" s="2">
        <v>1</v>
      </c>
      <c r="L8" s="2" t="s">
        <v>41</v>
      </c>
      <c r="M8" s="2" t="s">
        <v>41</v>
      </c>
      <c r="N8" s="2" t="s">
        <v>51</v>
      </c>
      <c r="O8" s="2" t="s">
        <v>52</v>
      </c>
      <c r="P8" s="2">
        <v>1</v>
      </c>
      <c r="Q8" s="2" t="s">
        <v>74</v>
      </c>
      <c r="R8" s="2" t="s">
        <v>99</v>
      </c>
      <c r="S8" s="3">
        <v>223064</v>
      </c>
      <c r="T8" s="3">
        <v>218064</v>
      </c>
      <c r="U8" s="3">
        <v>218064</v>
      </c>
      <c r="V8" s="2">
        <v>1</v>
      </c>
      <c r="W8" s="2" t="s">
        <v>41</v>
      </c>
      <c r="X8" s="2"/>
      <c r="Y8" s="2"/>
      <c r="Z8" s="2"/>
      <c r="AA8" s="2" t="s">
        <v>100</v>
      </c>
      <c r="AB8" s="2" t="s">
        <v>86</v>
      </c>
      <c r="AC8" s="2"/>
      <c r="AD8" t="s">
        <v>322</v>
      </c>
      <c r="AE8">
        <v>218064</v>
      </c>
    </row>
    <row r="9" spans="1:31" ht="26" x14ac:dyDescent="0.2">
      <c r="A9" s="4">
        <v>8</v>
      </c>
      <c r="B9" s="4">
        <v>90</v>
      </c>
      <c r="C9" s="4" t="s">
        <v>101</v>
      </c>
      <c r="D9" s="4" t="s">
        <v>102</v>
      </c>
      <c r="E9" s="4">
        <v>2770</v>
      </c>
      <c r="F9" s="4" t="s">
        <v>103</v>
      </c>
      <c r="G9" s="4" t="s">
        <v>104</v>
      </c>
      <c r="H9" s="4" t="s">
        <v>105</v>
      </c>
      <c r="I9" s="4" t="s">
        <v>62</v>
      </c>
      <c r="J9" s="4" t="s">
        <v>106</v>
      </c>
      <c r="K9" s="4">
        <v>8</v>
      </c>
      <c r="L9" s="4" t="s">
        <v>41</v>
      </c>
      <c r="M9" s="4" t="s">
        <v>41</v>
      </c>
      <c r="N9" s="4" t="s">
        <v>51</v>
      </c>
      <c r="O9" s="4" t="s">
        <v>52</v>
      </c>
      <c r="P9" s="4">
        <v>0</v>
      </c>
      <c r="Q9" s="4" t="s">
        <v>64</v>
      </c>
      <c r="R9" s="4" t="s">
        <v>107</v>
      </c>
      <c r="S9" s="5">
        <v>1170552</v>
      </c>
      <c r="T9" s="5">
        <v>1145552</v>
      </c>
      <c r="U9" s="5">
        <v>1145552</v>
      </c>
      <c r="V9" s="4">
        <v>1</v>
      </c>
      <c r="W9" s="4" t="s">
        <v>41</v>
      </c>
      <c r="X9" s="4" t="s">
        <v>41</v>
      </c>
      <c r="Y9" s="4"/>
      <c r="Z9" s="4" t="s">
        <v>108</v>
      </c>
      <c r="AA9" s="4" t="s">
        <v>39</v>
      </c>
      <c r="AB9" s="4" t="s">
        <v>56</v>
      </c>
      <c r="AC9" s="4"/>
      <c r="AD9" t="s">
        <v>323</v>
      </c>
      <c r="AE9">
        <v>1145552</v>
      </c>
    </row>
    <row r="10" spans="1:31" ht="26" x14ac:dyDescent="0.2">
      <c r="A10" s="2">
        <v>9</v>
      </c>
      <c r="B10" s="2">
        <v>90</v>
      </c>
      <c r="C10" s="2" t="s">
        <v>109</v>
      </c>
      <c r="D10" s="2" t="s">
        <v>110</v>
      </c>
      <c r="E10" s="2">
        <v>6925</v>
      </c>
      <c r="F10" s="2" t="s">
        <v>103</v>
      </c>
      <c r="G10" s="2" t="s">
        <v>111</v>
      </c>
      <c r="H10" s="2" t="s">
        <v>105</v>
      </c>
      <c r="I10" s="2" t="s">
        <v>62</v>
      </c>
      <c r="J10" s="2" t="s">
        <v>106</v>
      </c>
      <c r="K10" s="2">
        <v>8</v>
      </c>
      <c r="L10" s="2" t="s">
        <v>41</v>
      </c>
      <c r="M10" s="2" t="s">
        <v>41</v>
      </c>
      <c r="N10" s="2" t="s">
        <v>51</v>
      </c>
      <c r="O10" s="2" t="s">
        <v>52</v>
      </c>
      <c r="P10" s="2">
        <v>0</v>
      </c>
      <c r="Q10" s="2" t="s">
        <v>64</v>
      </c>
      <c r="R10" s="2" t="s">
        <v>107</v>
      </c>
      <c r="S10" s="3">
        <v>1135000</v>
      </c>
      <c r="T10" s="3">
        <v>1110000</v>
      </c>
      <c r="U10" s="3">
        <v>1110000</v>
      </c>
      <c r="V10" s="2">
        <v>1</v>
      </c>
      <c r="W10" s="2" t="s">
        <v>41</v>
      </c>
      <c r="X10" s="2" t="s">
        <v>41</v>
      </c>
      <c r="Y10" s="2"/>
      <c r="Z10" s="2"/>
      <c r="AA10" s="2" t="s">
        <v>39</v>
      </c>
      <c r="AB10" s="2" t="s">
        <v>56</v>
      </c>
      <c r="AC10" s="2"/>
      <c r="AD10" t="s">
        <v>323</v>
      </c>
      <c r="AE10">
        <v>1110000</v>
      </c>
    </row>
    <row r="11" spans="1:31" ht="26" x14ac:dyDescent="0.2">
      <c r="A11" s="4">
        <v>10</v>
      </c>
      <c r="B11" s="4">
        <v>90</v>
      </c>
      <c r="C11" s="4" t="s">
        <v>112</v>
      </c>
      <c r="D11" s="4" t="s">
        <v>113</v>
      </c>
      <c r="E11" s="4">
        <v>25580</v>
      </c>
      <c r="F11" s="4" t="s">
        <v>114</v>
      </c>
      <c r="G11" s="4" t="s">
        <v>115</v>
      </c>
      <c r="H11" s="4" t="s">
        <v>116</v>
      </c>
      <c r="I11" s="4" t="s">
        <v>117</v>
      </c>
      <c r="J11" s="4" t="s">
        <v>118</v>
      </c>
      <c r="K11" s="4">
        <v>6</v>
      </c>
      <c r="L11" s="4" t="s">
        <v>41</v>
      </c>
      <c r="M11" s="4">
        <v>2</v>
      </c>
      <c r="N11" s="4" t="s">
        <v>51</v>
      </c>
      <c r="O11" s="4" t="s">
        <v>38</v>
      </c>
      <c r="P11" s="4">
        <v>1</v>
      </c>
      <c r="Q11" s="4" t="s">
        <v>53</v>
      </c>
      <c r="R11" s="4" t="s">
        <v>65</v>
      </c>
      <c r="S11" s="5">
        <v>4600000</v>
      </c>
      <c r="T11" s="5">
        <v>4000000</v>
      </c>
      <c r="U11" s="5">
        <v>4000000</v>
      </c>
      <c r="V11" s="4">
        <v>1</v>
      </c>
      <c r="W11" s="4" t="s">
        <v>41</v>
      </c>
      <c r="X11" s="4" t="s">
        <v>41</v>
      </c>
      <c r="Y11" s="4" t="s">
        <v>41</v>
      </c>
      <c r="Z11" s="4"/>
      <c r="AA11" s="4" t="s">
        <v>100</v>
      </c>
      <c r="AB11" s="4" t="s">
        <v>119</v>
      </c>
      <c r="AC11" s="4"/>
      <c r="AD11" t="s">
        <v>324</v>
      </c>
      <c r="AE11">
        <v>4000000</v>
      </c>
    </row>
    <row r="12" spans="1:31" ht="26" x14ac:dyDescent="0.2">
      <c r="A12" s="2">
        <v>11</v>
      </c>
      <c r="B12" s="2">
        <v>87</v>
      </c>
      <c r="C12" s="2" t="s">
        <v>120</v>
      </c>
      <c r="D12" s="2" t="s">
        <v>121</v>
      </c>
      <c r="E12" s="2">
        <v>573</v>
      </c>
      <c r="F12" s="2" t="s">
        <v>122</v>
      </c>
      <c r="G12" s="2" t="s">
        <v>123</v>
      </c>
      <c r="H12" s="2" t="s">
        <v>124</v>
      </c>
      <c r="I12" s="2" t="s">
        <v>125</v>
      </c>
      <c r="J12" s="2" t="s">
        <v>126</v>
      </c>
      <c r="K12" s="2">
        <v>5</v>
      </c>
      <c r="L12" s="2" t="s">
        <v>41</v>
      </c>
      <c r="M12" s="2" t="s">
        <v>41</v>
      </c>
      <c r="N12" s="2" t="s">
        <v>51</v>
      </c>
      <c r="O12" s="2" t="s">
        <v>38</v>
      </c>
      <c r="P12" s="2">
        <v>1</v>
      </c>
      <c r="Q12" s="2" t="s">
        <v>74</v>
      </c>
      <c r="R12" s="2" t="s">
        <v>127</v>
      </c>
      <c r="S12" s="3">
        <v>2461000</v>
      </c>
      <c r="T12" s="3">
        <v>2461000</v>
      </c>
      <c r="U12" s="3">
        <v>2461000</v>
      </c>
      <c r="V12" s="2">
        <v>1</v>
      </c>
      <c r="W12" s="2" t="s">
        <v>41</v>
      </c>
      <c r="X12" s="2" t="s">
        <v>41</v>
      </c>
      <c r="Y12" s="2" t="s">
        <v>41</v>
      </c>
      <c r="Z12" s="2"/>
      <c r="AA12" s="2" t="s">
        <v>128</v>
      </c>
      <c r="AB12" s="2" t="s">
        <v>56</v>
      </c>
      <c r="AC12" s="2"/>
      <c r="AD12" t="s">
        <v>325</v>
      </c>
      <c r="AE12">
        <v>2461000</v>
      </c>
    </row>
    <row r="13" spans="1:31" ht="26" x14ac:dyDescent="0.2">
      <c r="A13" s="4">
        <v>12</v>
      </c>
      <c r="B13" s="4">
        <v>80</v>
      </c>
      <c r="C13" s="4" t="s">
        <v>129</v>
      </c>
      <c r="D13" s="4" t="s">
        <v>130</v>
      </c>
      <c r="E13" s="4">
        <v>610</v>
      </c>
      <c r="F13" s="4" t="s">
        <v>122</v>
      </c>
      <c r="G13" s="4" t="s">
        <v>131</v>
      </c>
      <c r="H13" s="4" t="s">
        <v>124</v>
      </c>
      <c r="I13" s="4" t="s">
        <v>125</v>
      </c>
      <c r="J13" s="4" t="s">
        <v>132</v>
      </c>
      <c r="K13" s="4">
        <v>4</v>
      </c>
      <c r="L13" s="4" t="s">
        <v>41</v>
      </c>
      <c r="M13" s="4" t="s">
        <v>41</v>
      </c>
      <c r="N13" s="4" t="s">
        <v>51</v>
      </c>
      <c r="O13" s="4" t="s">
        <v>38</v>
      </c>
      <c r="P13" s="4">
        <v>1</v>
      </c>
      <c r="Q13" s="4" t="s">
        <v>74</v>
      </c>
      <c r="R13" s="4" t="s">
        <v>133</v>
      </c>
      <c r="S13" s="5">
        <v>3400000</v>
      </c>
      <c r="T13" s="5">
        <v>3400000</v>
      </c>
      <c r="U13" s="5">
        <v>3400000</v>
      </c>
      <c r="V13" s="4">
        <v>1</v>
      </c>
      <c r="W13" s="4" t="s">
        <v>41</v>
      </c>
      <c r="X13" s="4" t="s">
        <v>41</v>
      </c>
      <c r="Y13" s="4" t="s">
        <v>41</v>
      </c>
      <c r="Z13" s="4"/>
      <c r="AA13" s="4" t="s">
        <v>134</v>
      </c>
      <c r="AB13" s="4" t="s">
        <v>56</v>
      </c>
      <c r="AC13" s="4"/>
      <c r="AD13" t="s">
        <v>325</v>
      </c>
      <c r="AE13">
        <v>3400000</v>
      </c>
    </row>
    <row r="14" spans="1:31" ht="26" x14ac:dyDescent="0.2">
      <c r="A14" s="2">
        <v>13</v>
      </c>
      <c r="B14" s="2">
        <v>80</v>
      </c>
      <c r="C14" s="2" t="s">
        <v>135</v>
      </c>
      <c r="D14" s="2" t="s">
        <v>136</v>
      </c>
      <c r="E14" s="2">
        <v>920</v>
      </c>
      <c r="F14" s="2" t="s">
        <v>137</v>
      </c>
      <c r="G14" s="2" t="s">
        <v>138</v>
      </c>
      <c r="H14" s="2" t="s">
        <v>139</v>
      </c>
      <c r="I14" s="2" t="s">
        <v>140</v>
      </c>
      <c r="J14" s="2" t="s">
        <v>141</v>
      </c>
      <c r="K14" s="2">
        <v>6</v>
      </c>
      <c r="L14" s="2" t="s">
        <v>41</v>
      </c>
      <c r="M14" s="2" t="s">
        <v>41</v>
      </c>
      <c r="N14" s="2" t="s">
        <v>51</v>
      </c>
      <c r="O14" s="2" t="s">
        <v>52</v>
      </c>
      <c r="P14" s="2">
        <v>1</v>
      </c>
      <c r="Q14" s="2" t="s">
        <v>53</v>
      </c>
      <c r="R14" s="2" t="s">
        <v>142</v>
      </c>
      <c r="S14" s="3">
        <v>8064990</v>
      </c>
      <c r="T14" s="3">
        <v>8035000</v>
      </c>
      <c r="U14" s="3">
        <v>8035000</v>
      </c>
      <c r="V14" s="2">
        <v>1</v>
      </c>
      <c r="W14" s="2" t="s">
        <v>41</v>
      </c>
      <c r="X14" s="2" t="s">
        <v>41</v>
      </c>
      <c r="Y14" s="2"/>
      <c r="Z14" s="2"/>
      <c r="AA14" s="2" t="s">
        <v>143</v>
      </c>
      <c r="AB14" s="2" t="s">
        <v>144</v>
      </c>
      <c r="AC14" s="2"/>
      <c r="AD14" t="s">
        <v>326</v>
      </c>
      <c r="AE14">
        <v>8035000</v>
      </c>
    </row>
    <row r="15" spans="1:31" ht="26" x14ac:dyDescent="0.2">
      <c r="A15" s="4">
        <v>14</v>
      </c>
      <c r="B15" s="4">
        <v>75</v>
      </c>
      <c r="C15" s="4" t="s">
        <v>145</v>
      </c>
      <c r="D15" s="4" t="s">
        <v>146</v>
      </c>
      <c r="E15" s="4">
        <v>7528</v>
      </c>
      <c r="F15" s="4" t="s">
        <v>147</v>
      </c>
      <c r="G15" s="4" t="s">
        <v>148</v>
      </c>
      <c r="H15" s="4" t="s">
        <v>149</v>
      </c>
      <c r="I15" s="4" t="s">
        <v>117</v>
      </c>
      <c r="J15" s="4" t="s">
        <v>150</v>
      </c>
      <c r="K15" s="4">
        <v>6</v>
      </c>
      <c r="L15" s="4" t="s">
        <v>41</v>
      </c>
      <c r="M15" s="4">
        <v>2</v>
      </c>
      <c r="N15" s="4" t="s">
        <v>51</v>
      </c>
      <c r="O15" s="4" t="s">
        <v>52</v>
      </c>
      <c r="P15" s="4">
        <v>0</v>
      </c>
      <c r="Q15" s="4" t="s">
        <v>66</v>
      </c>
      <c r="R15" s="4" t="s">
        <v>65</v>
      </c>
      <c r="S15" s="5">
        <v>4100000</v>
      </c>
      <c r="T15" s="5">
        <v>1000000</v>
      </c>
      <c r="U15" s="5">
        <v>0</v>
      </c>
      <c r="V15" s="4">
        <v>1</v>
      </c>
      <c r="W15" s="4"/>
      <c r="X15" s="4" t="s">
        <v>41</v>
      </c>
      <c r="Y15" s="4" t="s">
        <v>41</v>
      </c>
      <c r="Z15" s="4" t="s">
        <v>151</v>
      </c>
      <c r="AA15" s="4" t="s">
        <v>76</v>
      </c>
      <c r="AB15" s="4" t="s">
        <v>119</v>
      </c>
      <c r="AC15" s="4"/>
      <c r="AD15" t="s">
        <v>327</v>
      </c>
      <c r="AE15">
        <v>1000000</v>
      </c>
    </row>
    <row r="16" spans="1:31" ht="26" x14ac:dyDescent="0.2">
      <c r="A16" s="2">
        <v>15</v>
      </c>
      <c r="B16" s="2">
        <v>72</v>
      </c>
      <c r="C16" s="2" t="s">
        <v>152</v>
      </c>
      <c r="D16" s="2" t="s">
        <v>153</v>
      </c>
      <c r="E16" s="2">
        <v>388</v>
      </c>
      <c r="F16" s="2" t="s">
        <v>122</v>
      </c>
      <c r="G16" s="2" t="s">
        <v>154</v>
      </c>
      <c r="H16" s="2" t="s">
        <v>124</v>
      </c>
      <c r="I16" s="2" t="s">
        <v>125</v>
      </c>
      <c r="J16" s="2" t="s">
        <v>155</v>
      </c>
      <c r="K16" s="2">
        <v>8</v>
      </c>
      <c r="L16" s="2" t="s">
        <v>41</v>
      </c>
      <c r="M16" s="2" t="s">
        <v>41</v>
      </c>
      <c r="N16" s="2" t="s">
        <v>51</v>
      </c>
      <c r="O16" s="2" t="s">
        <v>38</v>
      </c>
      <c r="P16" s="2">
        <v>0</v>
      </c>
      <c r="Q16" s="2" t="s">
        <v>84</v>
      </c>
      <c r="R16" s="2" t="s">
        <v>133</v>
      </c>
      <c r="S16" s="3">
        <v>4416000</v>
      </c>
      <c r="T16" s="3">
        <v>4416000</v>
      </c>
      <c r="U16" s="3">
        <v>4416000</v>
      </c>
      <c r="V16" s="2">
        <v>1</v>
      </c>
      <c r="W16" s="2" t="s">
        <v>41</v>
      </c>
      <c r="X16" s="2" t="s">
        <v>41</v>
      </c>
      <c r="Y16" s="2" t="s">
        <v>41</v>
      </c>
      <c r="Z16" s="2"/>
      <c r="AA16" s="2" t="s">
        <v>156</v>
      </c>
      <c r="AB16" s="2" t="s">
        <v>56</v>
      </c>
      <c r="AC16" s="2"/>
      <c r="AD16" t="s">
        <v>325</v>
      </c>
      <c r="AE16">
        <v>4416000</v>
      </c>
    </row>
    <row r="17" spans="1:31" ht="26" x14ac:dyDescent="0.2">
      <c r="A17" s="4">
        <v>16</v>
      </c>
      <c r="B17" s="4">
        <v>72</v>
      </c>
      <c r="C17" s="4" t="s">
        <v>157</v>
      </c>
      <c r="D17" s="4" t="s">
        <v>158</v>
      </c>
      <c r="E17" s="4">
        <v>1800000</v>
      </c>
      <c r="F17" s="4" t="s">
        <v>159</v>
      </c>
      <c r="G17" s="4" t="s">
        <v>160</v>
      </c>
      <c r="H17" s="4" t="s">
        <v>161</v>
      </c>
      <c r="I17" s="4" t="s">
        <v>162</v>
      </c>
      <c r="J17" s="4" t="s">
        <v>163</v>
      </c>
      <c r="K17" s="4">
        <v>7</v>
      </c>
      <c r="L17" s="4" t="s">
        <v>41</v>
      </c>
      <c r="M17" s="4" t="s">
        <v>41</v>
      </c>
      <c r="N17" s="4" t="s">
        <v>51</v>
      </c>
      <c r="O17" s="4" t="s">
        <v>38</v>
      </c>
      <c r="P17" s="4">
        <v>1</v>
      </c>
      <c r="Q17" s="4" t="s">
        <v>164</v>
      </c>
      <c r="R17" s="4" t="s">
        <v>165</v>
      </c>
      <c r="S17" s="5">
        <v>67964878</v>
      </c>
      <c r="T17" s="5">
        <v>27818640</v>
      </c>
      <c r="U17" s="5">
        <v>27818640</v>
      </c>
      <c r="V17" s="4">
        <v>1</v>
      </c>
      <c r="W17" s="4" t="s">
        <v>41</v>
      </c>
      <c r="X17" s="4" t="s">
        <v>41</v>
      </c>
      <c r="Y17" s="4" t="s">
        <v>41</v>
      </c>
      <c r="Z17" s="4"/>
      <c r="AA17" s="4" t="s">
        <v>166</v>
      </c>
      <c r="AB17" s="4" t="s">
        <v>56</v>
      </c>
      <c r="AC17" s="4"/>
      <c r="AD17" t="s">
        <v>328</v>
      </c>
      <c r="AE17">
        <v>27818640</v>
      </c>
    </row>
    <row r="18" spans="1:31" ht="26" x14ac:dyDescent="0.2">
      <c r="A18" s="2">
        <v>17</v>
      </c>
      <c r="B18" s="2">
        <v>72</v>
      </c>
      <c r="C18" s="2" t="s">
        <v>157</v>
      </c>
      <c r="D18" s="2" t="s">
        <v>167</v>
      </c>
      <c r="E18" s="2" t="s">
        <v>168</v>
      </c>
      <c r="F18" s="2" t="s">
        <v>159</v>
      </c>
      <c r="G18" s="2" t="s">
        <v>160</v>
      </c>
      <c r="H18" s="2" t="s">
        <v>169</v>
      </c>
      <c r="I18" s="2" t="s">
        <v>170</v>
      </c>
      <c r="J18" s="2" t="s">
        <v>163</v>
      </c>
      <c r="K18" s="2">
        <v>7</v>
      </c>
      <c r="L18" s="2" t="s">
        <v>41</v>
      </c>
      <c r="M18" s="2" t="s">
        <v>41</v>
      </c>
      <c r="N18" s="2" t="s">
        <v>51</v>
      </c>
      <c r="O18" s="2" t="s">
        <v>38</v>
      </c>
      <c r="P18" s="2">
        <v>0</v>
      </c>
      <c r="Q18" s="2" t="s">
        <v>164</v>
      </c>
      <c r="R18" s="2" t="s">
        <v>165</v>
      </c>
      <c r="S18" s="3">
        <v>0</v>
      </c>
      <c r="T18" s="3">
        <v>31943493</v>
      </c>
      <c r="U18" s="3">
        <v>31943493</v>
      </c>
      <c r="V18" s="2">
        <v>1</v>
      </c>
      <c r="W18" s="2" t="s">
        <v>41</v>
      </c>
      <c r="X18" s="2" t="s">
        <v>41</v>
      </c>
      <c r="Y18" s="2" t="s">
        <v>41</v>
      </c>
      <c r="Z18" s="2"/>
      <c r="AA18" s="2" t="s">
        <v>166</v>
      </c>
      <c r="AB18" s="2" t="s">
        <v>56</v>
      </c>
      <c r="AC18" s="2"/>
      <c r="AD18" t="s">
        <v>328</v>
      </c>
      <c r="AE18">
        <v>31943493</v>
      </c>
    </row>
    <row r="19" spans="1:31" ht="26" x14ac:dyDescent="0.2">
      <c r="A19" s="4">
        <v>18</v>
      </c>
      <c r="B19" s="4">
        <v>70</v>
      </c>
      <c r="C19" s="4" t="s">
        <v>171</v>
      </c>
      <c r="D19" s="4" t="s">
        <v>172</v>
      </c>
      <c r="E19" s="4">
        <v>2363</v>
      </c>
      <c r="F19" s="4" t="s">
        <v>173</v>
      </c>
      <c r="G19" s="4" t="s">
        <v>174</v>
      </c>
      <c r="H19" s="4" t="s">
        <v>175</v>
      </c>
      <c r="I19" s="4" t="s">
        <v>62</v>
      </c>
      <c r="J19" s="4" t="s">
        <v>176</v>
      </c>
      <c r="K19" s="4">
        <v>6</v>
      </c>
      <c r="L19" s="4" t="s">
        <v>41</v>
      </c>
      <c r="M19" s="4">
        <v>2</v>
      </c>
      <c r="N19" s="4" t="s">
        <v>51</v>
      </c>
      <c r="O19" s="4" t="s">
        <v>52</v>
      </c>
      <c r="P19" s="4">
        <v>0</v>
      </c>
      <c r="Q19" s="4" t="s">
        <v>177</v>
      </c>
      <c r="R19" s="4" t="s">
        <v>65</v>
      </c>
      <c r="S19" s="5">
        <v>5000000</v>
      </c>
      <c r="T19" s="5">
        <v>4200000</v>
      </c>
      <c r="U19" s="5">
        <v>0</v>
      </c>
      <c r="V19" s="4">
        <v>1</v>
      </c>
      <c r="W19" s="4"/>
      <c r="X19" s="4" t="s">
        <v>41</v>
      </c>
      <c r="Y19" s="4"/>
      <c r="Z19" s="4"/>
      <c r="AA19" s="4" t="s">
        <v>76</v>
      </c>
      <c r="AB19" s="4" t="s">
        <v>56</v>
      </c>
      <c r="AC19" s="4" t="s">
        <v>41</v>
      </c>
      <c r="AD19" t="s">
        <v>329</v>
      </c>
      <c r="AE19">
        <v>4200000</v>
      </c>
    </row>
    <row r="20" spans="1:31" ht="26" x14ac:dyDescent="0.2">
      <c r="A20" s="2">
        <v>19</v>
      </c>
      <c r="B20" s="2">
        <v>70</v>
      </c>
      <c r="C20" s="2" t="s">
        <v>178</v>
      </c>
      <c r="D20" s="2" t="s">
        <v>179</v>
      </c>
      <c r="E20" s="2">
        <v>2448</v>
      </c>
      <c r="F20" s="2" t="s">
        <v>180</v>
      </c>
      <c r="G20" s="2" t="s">
        <v>181</v>
      </c>
      <c r="H20" s="2" t="s">
        <v>182</v>
      </c>
      <c r="I20" s="2" t="s">
        <v>72</v>
      </c>
      <c r="J20" s="2" t="s">
        <v>141</v>
      </c>
      <c r="K20" s="2">
        <v>6</v>
      </c>
      <c r="L20" s="2" t="s">
        <v>41</v>
      </c>
      <c r="M20" s="2" t="s">
        <v>41</v>
      </c>
      <c r="N20" s="2" t="s">
        <v>51</v>
      </c>
      <c r="O20" s="2" t="s">
        <v>52</v>
      </c>
      <c r="P20" s="2">
        <v>1</v>
      </c>
      <c r="Q20" s="2" t="s">
        <v>183</v>
      </c>
      <c r="R20" s="2" t="s">
        <v>75</v>
      </c>
      <c r="S20" s="3">
        <v>18192000</v>
      </c>
      <c r="T20" s="3">
        <v>18162000</v>
      </c>
      <c r="U20" s="3">
        <v>18162000</v>
      </c>
      <c r="V20" s="2">
        <v>1</v>
      </c>
      <c r="W20" s="2" t="s">
        <v>41</v>
      </c>
      <c r="X20" s="2"/>
      <c r="Y20" s="2"/>
      <c r="Z20" s="2" t="s">
        <v>151</v>
      </c>
      <c r="AA20" s="2" t="s">
        <v>184</v>
      </c>
      <c r="AB20" s="2" t="s">
        <v>56</v>
      </c>
      <c r="AC20" s="2"/>
      <c r="AD20" t="s">
        <v>330</v>
      </c>
      <c r="AE20">
        <v>18162000</v>
      </c>
    </row>
    <row r="21" spans="1:31" ht="26" x14ac:dyDescent="0.2">
      <c r="A21" s="4">
        <v>20</v>
      </c>
      <c r="B21" s="4">
        <v>70</v>
      </c>
      <c r="C21" s="4" t="s">
        <v>185</v>
      </c>
      <c r="D21" s="4" t="s">
        <v>186</v>
      </c>
      <c r="E21" s="4">
        <v>108600</v>
      </c>
      <c r="F21" s="4" t="s">
        <v>187</v>
      </c>
      <c r="G21" s="4" t="s">
        <v>188</v>
      </c>
      <c r="H21" s="4" t="s">
        <v>116</v>
      </c>
      <c r="I21" s="4" t="s">
        <v>117</v>
      </c>
      <c r="J21" s="4" t="s">
        <v>118</v>
      </c>
      <c r="K21" s="4">
        <v>6</v>
      </c>
      <c r="L21" s="4" t="s">
        <v>41</v>
      </c>
      <c r="M21" s="4">
        <v>2</v>
      </c>
      <c r="N21" s="4" t="s">
        <v>51</v>
      </c>
      <c r="O21" s="4" t="s">
        <v>38</v>
      </c>
      <c r="P21" s="4">
        <v>1</v>
      </c>
      <c r="Q21" s="4" t="s">
        <v>64</v>
      </c>
      <c r="R21" s="4" t="s">
        <v>189</v>
      </c>
      <c r="S21" s="5">
        <v>17250000</v>
      </c>
      <c r="T21" s="5">
        <v>15000000</v>
      </c>
      <c r="U21" s="5">
        <v>15000000</v>
      </c>
      <c r="V21" s="4">
        <v>1</v>
      </c>
      <c r="W21" s="4" t="s">
        <v>41</v>
      </c>
      <c r="X21" s="4" t="s">
        <v>41</v>
      </c>
      <c r="Y21" s="4" t="s">
        <v>41</v>
      </c>
      <c r="Z21" s="4"/>
      <c r="AA21" s="4" t="s">
        <v>100</v>
      </c>
      <c r="AB21" s="4" t="s">
        <v>56</v>
      </c>
      <c r="AC21" s="4"/>
      <c r="AD21" t="s">
        <v>331</v>
      </c>
      <c r="AE21">
        <v>15000000</v>
      </c>
    </row>
    <row r="22" spans="1:31" ht="26" x14ac:dyDescent="0.2">
      <c r="A22" s="2">
        <v>21</v>
      </c>
      <c r="B22" s="2">
        <v>65</v>
      </c>
      <c r="C22" s="2" t="s">
        <v>190</v>
      </c>
      <c r="D22" s="2" t="s">
        <v>191</v>
      </c>
      <c r="E22" s="2">
        <v>5045</v>
      </c>
      <c r="F22" s="2" t="s">
        <v>192</v>
      </c>
      <c r="G22" s="2" t="s">
        <v>193</v>
      </c>
      <c r="H22" s="2" t="s">
        <v>194</v>
      </c>
      <c r="I22" s="2" t="s">
        <v>49</v>
      </c>
      <c r="J22" s="2" t="s">
        <v>195</v>
      </c>
      <c r="K22" s="2">
        <v>1</v>
      </c>
      <c r="L22" s="2" t="s">
        <v>41</v>
      </c>
      <c r="M22" s="2" t="s">
        <v>41</v>
      </c>
      <c r="N22" s="2" t="s">
        <v>51</v>
      </c>
      <c r="O22" s="2" t="s">
        <v>52</v>
      </c>
      <c r="P22" s="2">
        <v>1</v>
      </c>
      <c r="Q22" s="2" t="s">
        <v>74</v>
      </c>
      <c r="R22" s="2" t="s">
        <v>196</v>
      </c>
      <c r="S22" s="3">
        <v>160000</v>
      </c>
      <c r="T22" s="3">
        <v>130000</v>
      </c>
      <c r="U22" s="3">
        <v>130000</v>
      </c>
      <c r="V22" s="2">
        <v>1</v>
      </c>
      <c r="W22" s="2" t="s">
        <v>41</v>
      </c>
      <c r="X22" s="2" t="s">
        <v>41</v>
      </c>
      <c r="Y22" s="2"/>
      <c r="Z22" s="2"/>
      <c r="AA22" s="2" t="s">
        <v>100</v>
      </c>
      <c r="AB22" s="2" t="s">
        <v>86</v>
      </c>
      <c r="AC22" s="2"/>
      <c r="AD22" t="s">
        <v>332</v>
      </c>
      <c r="AE22">
        <v>130000</v>
      </c>
    </row>
    <row r="23" spans="1:31" ht="26" x14ac:dyDescent="0.2">
      <c r="A23" s="4">
        <v>22</v>
      </c>
      <c r="B23" s="4">
        <v>65</v>
      </c>
      <c r="C23" s="4" t="s">
        <v>197</v>
      </c>
      <c r="D23" s="4" t="s">
        <v>198</v>
      </c>
      <c r="E23" s="4">
        <v>9200</v>
      </c>
      <c r="F23" s="4" t="s">
        <v>199</v>
      </c>
      <c r="G23" s="4" t="s">
        <v>200</v>
      </c>
      <c r="H23" s="4" t="s">
        <v>139</v>
      </c>
      <c r="I23" s="4" t="s">
        <v>140</v>
      </c>
      <c r="J23" s="4" t="s">
        <v>141</v>
      </c>
      <c r="K23" s="4">
        <v>6</v>
      </c>
      <c r="L23" s="4" t="s">
        <v>36</v>
      </c>
      <c r="M23" s="4" t="s">
        <v>41</v>
      </c>
      <c r="N23" s="4" t="s">
        <v>51</v>
      </c>
      <c r="O23" s="4" t="s">
        <v>52</v>
      </c>
      <c r="P23" s="4">
        <v>1</v>
      </c>
      <c r="Q23" s="4" t="s">
        <v>53</v>
      </c>
      <c r="R23" s="4" t="s">
        <v>142</v>
      </c>
      <c r="S23" s="5">
        <v>9182990</v>
      </c>
      <c r="T23" s="5">
        <v>9153000</v>
      </c>
      <c r="U23" s="5">
        <v>9153000</v>
      </c>
      <c r="V23" s="4">
        <v>1</v>
      </c>
      <c r="W23" s="4" t="s">
        <v>41</v>
      </c>
      <c r="X23" s="4" t="s">
        <v>41</v>
      </c>
      <c r="Y23" s="4"/>
      <c r="Z23" s="4"/>
      <c r="AA23" s="4" t="s">
        <v>143</v>
      </c>
      <c r="AB23" s="4" t="s">
        <v>144</v>
      </c>
      <c r="AC23" s="4"/>
      <c r="AD23" t="s">
        <v>326</v>
      </c>
      <c r="AE23">
        <v>9153000</v>
      </c>
    </row>
    <row r="24" spans="1:31" ht="26" x14ac:dyDescent="0.2">
      <c r="A24" s="2">
        <v>23</v>
      </c>
      <c r="B24" s="2">
        <v>60</v>
      </c>
      <c r="C24" s="2" t="s">
        <v>201</v>
      </c>
      <c r="D24" s="2" t="s">
        <v>202</v>
      </c>
      <c r="E24" s="2">
        <v>3275</v>
      </c>
      <c r="F24" s="2" t="s">
        <v>203</v>
      </c>
      <c r="G24" s="2" t="s">
        <v>204</v>
      </c>
      <c r="H24" s="2" t="s">
        <v>205</v>
      </c>
      <c r="I24" s="2" t="s">
        <v>140</v>
      </c>
      <c r="J24" s="2" t="s">
        <v>141</v>
      </c>
      <c r="K24" s="2">
        <v>6</v>
      </c>
      <c r="L24" s="2" t="s">
        <v>41</v>
      </c>
      <c r="M24" s="2" t="s">
        <v>41</v>
      </c>
      <c r="N24" s="2" t="s">
        <v>51</v>
      </c>
      <c r="O24" s="2" t="s">
        <v>52</v>
      </c>
      <c r="P24" s="2">
        <v>1</v>
      </c>
      <c r="Q24" s="2" t="s">
        <v>206</v>
      </c>
      <c r="R24" s="2" t="s">
        <v>207</v>
      </c>
      <c r="S24" s="3">
        <v>1602274</v>
      </c>
      <c r="T24" s="3">
        <v>1587274</v>
      </c>
      <c r="U24" s="3">
        <v>1587274</v>
      </c>
      <c r="V24" s="2">
        <v>1</v>
      </c>
      <c r="W24" s="2" t="s">
        <v>41</v>
      </c>
      <c r="X24" s="2" t="s">
        <v>41</v>
      </c>
      <c r="Y24" s="2" t="s">
        <v>41</v>
      </c>
      <c r="Z24" s="2"/>
      <c r="AA24" s="2" t="s">
        <v>100</v>
      </c>
      <c r="AB24" s="2" t="s">
        <v>56</v>
      </c>
      <c r="AC24" s="2"/>
      <c r="AD24" t="s">
        <v>333</v>
      </c>
      <c r="AE24">
        <v>1587274</v>
      </c>
    </row>
    <row r="25" spans="1:31" ht="26" x14ac:dyDescent="0.2">
      <c r="A25" s="4">
        <v>24</v>
      </c>
      <c r="B25" s="4">
        <v>60</v>
      </c>
      <c r="C25" s="4" t="s">
        <v>208</v>
      </c>
      <c r="D25" s="4" t="s">
        <v>209</v>
      </c>
      <c r="E25" s="4">
        <v>4500</v>
      </c>
      <c r="F25" s="4" t="s">
        <v>210</v>
      </c>
      <c r="G25" s="4" t="s">
        <v>211</v>
      </c>
      <c r="H25" s="4" t="s">
        <v>212</v>
      </c>
      <c r="I25" s="4" t="s">
        <v>72</v>
      </c>
      <c r="J25" s="4" t="s">
        <v>141</v>
      </c>
      <c r="K25" s="4">
        <v>6</v>
      </c>
      <c r="L25" s="4" t="s">
        <v>41</v>
      </c>
      <c r="M25" s="4">
        <v>2</v>
      </c>
      <c r="N25" s="4" t="s">
        <v>51</v>
      </c>
      <c r="O25" s="4" t="s">
        <v>52</v>
      </c>
      <c r="P25" s="4">
        <v>1</v>
      </c>
      <c r="Q25" s="4" t="s">
        <v>64</v>
      </c>
      <c r="R25" s="4" t="s">
        <v>213</v>
      </c>
      <c r="S25" s="5">
        <v>9904840</v>
      </c>
      <c r="T25" s="5">
        <v>9904840</v>
      </c>
      <c r="U25" s="5">
        <v>9904840</v>
      </c>
      <c r="V25" s="4">
        <v>1</v>
      </c>
      <c r="W25" s="4" t="s">
        <v>41</v>
      </c>
      <c r="X25" s="4"/>
      <c r="Y25" s="4"/>
      <c r="Z25" s="4"/>
      <c r="AA25" s="4" t="s">
        <v>100</v>
      </c>
      <c r="AB25" s="4" t="s">
        <v>119</v>
      </c>
      <c r="AC25" s="4" t="s">
        <v>41</v>
      </c>
      <c r="AD25" s="7" t="s">
        <v>343</v>
      </c>
      <c r="AE25">
        <v>9904840</v>
      </c>
    </row>
    <row r="26" spans="1:31" ht="39" x14ac:dyDescent="0.2">
      <c r="A26" s="2">
        <v>25</v>
      </c>
      <c r="B26" s="2">
        <v>55</v>
      </c>
      <c r="C26" s="2" t="s">
        <v>214</v>
      </c>
      <c r="D26" s="2" t="s">
        <v>215</v>
      </c>
      <c r="E26" s="2">
        <v>95</v>
      </c>
      <c r="F26" s="2" t="s">
        <v>216</v>
      </c>
      <c r="G26" s="2" t="s">
        <v>217</v>
      </c>
      <c r="H26" s="2" t="s">
        <v>218</v>
      </c>
      <c r="I26" s="2" t="s">
        <v>72</v>
      </c>
      <c r="J26" s="2" t="s">
        <v>73</v>
      </c>
      <c r="K26" s="2">
        <v>6</v>
      </c>
      <c r="L26" s="2" t="s">
        <v>41</v>
      </c>
      <c r="M26" s="2">
        <v>3</v>
      </c>
      <c r="N26" s="2" t="s">
        <v>51</v>
      </c>
      <c r="O26" s="2" t="s">
        <v>52</v>
      </c>
      <c r="P26" s="2">
        <v>1</v>
      </c>
      <c r="Q26" s="2" t="s">
        <v>66</v>
      </c>
      <c r="R26" s="2" t="s">
        <v>65</v>
      </c>
      <c r="S26" s="3">
        <v>1000000</v>
      </c>
      <c r="T26" s="3">
        <v>1000000</v>
      </c>
      <c r="U26" s="3">
        <v>1000000</v>
      </c>
      <c r="V26" s="2">
        <v>2</v>
      </c>
      <c r="W26" s="2" t="s">
        <v>41</v>
      </c>
      <c r="X26" s="2"/>
      <c r="Y26" s="2"/>
      <c r="Z26" s="2"/>
      <c r="AA26" s="2" t="s">
        <v>55</v>
      </c>
      <c r="AB26" s="2" t="s">
        <v>56</v>
      </c>
      <c r="AC26" s="2"/>
      <c r="AD26" t="s">
        <v>326</v>
      </c>
      <c r="AE26">
        <v>1000000</v>
      </c>
    </row>
    <row r="27" spans="1:31" ht="26" x14ac:dyDescent="0.2">
      <c r="A27" s="4">
        <v>26</v>
      </c>
      <c r="B27" s="4">
        <v>55</v>
      </c>
      <c r="C27" s="4" t="s">
        <v>219</v>
      </c>
      <c r="D27" s="4" t="s">
        <v>220</v>
      </c>
      <c r="E27" s="4">
        <v>163</v>
      </c>
      <c r="F27" s="4" t="s">
        <v>221</v>
      </c>
      <c r="G27" s="4" t="s">
        <v>222</v>
      </c>
      <c r="H27" s="4" t="s">
        <v>223</v>
      </c>
      <c r="I27" s="4" t="s">
        <v>82</v>
      </c>
      <c r="J27" s="4" t="s">
        <v>224</v>
      </c>
      <c r="K27" s="4">
        <v>8</v>
      </c>
      <c r="L27" s="4" t="s">
        <v>41</v>
      </c>
      <c r="M27" s="4" t="s">
        <v>41</v>
      </c>
      <c r="N27" s="4" t="s">
        <v>51</v>
      </c>
      <c r="O27" s="4" t="s">
        <v>52</v>
      </c>
      <c r="P27" s="4">
        <v>0</v>
      </c>
      <c r="Q27" s="4" t="s">
        <v>225</v>
      </c>
      <c r="R27" s="4" t="s">
        <v>196</v>
      </c>
      <c r="S27" s="5">
        <v>4277748</v>
      </c>
      <c r="T27" s="5">
        <v>1960000</v>
      </c>
      <c r="U27" s="5">
        <v>1960000</v>
      </c>
      <c r="V27" s="4">
        <v>1</v>
      </c>
      <c r="W27" s="4" t="s">
        <v>41</v>
      </c>
      <c r="X27" s="4"/>
      <c r="Y27" s="4"/>
      <c r="Z27" s="4"/>
      <c r="AA27" s="4" t="s">
        <v>226</v>
      </c>
      <c r="AB27" s="4" t="s">
        <v>56</v>
      </c>
      <c r="AC27" s="4"/>
      <c r="AD27" t="s">
        <v>334</v>
      </c>
      <c r="AE27">
        <v>1960000</v>
      </c>
    </row>
    <row r="28" spans="1:31" ht="26" x14ac:dyDescent="0.2">
      <c r="A28" s="2">
        <v>27</v>
      </c>
      <c r="B28" s="2">
        <v>55</v>
      </c>
      <c r="C28" s="2" t="s">
        <v>227</v>
      </c>
      <c r="D28" s="2" t="s">
        <v>228</v>
      </c>
      <c r="E28" s="2">
        <v>1500</v>
      </c>
      <c r="F28" s="2" t="s">
        <v>229</v>
      </c>
      <c r="G28" s="2" t="s">
        <v>230</v>
      </c>
      <c r="H28" s="2" t="s">
        <v>231</v>
      </c>
      <c r="I28" s="2" t="s">
        <v>117</v>
      </c>
      <c r="J28" s="2" t="s">
        <v>150</v>
      </c>
      <c r="K28" s="2">
        <v>6</v>
      </c>
      <c r="L28" s="2" t="s">
        <v>41</v>
      </c>
      <c r="M28" s="2">
        <v>2</v>
      </c>
      <c r="N28" s="2" t="s">
        <v>51</v>
      </c>
      <c r="O28" s="2" t="s">
        <v>52</v>
      </c>
      <c r="P28" s="2">
        <v>0</v>
      </c>
      <c r="Q28" s="2" t="s">
        <v>74</v>
      </c>
      <c r="R28" s="2" t="s">
        <v>107</v>
      </c>
      <c r="S28" s="3">
        <v>1000000</v>
      </c>
      <c r="T28" s="3">
        <v>700000</v>
      </c>
      <c r="U28" s="3">
        <v>700000</v>
      </c>
      <c r="V28" s="2">
        <v>1</v>
      </c>
      <c r="W28" s="2" t="s">
        <v>41</v>
      </c>
      <c r="X28" s="2" t="s">
        <v>41</v>
      </c>
      <c r="Y28" s="2"/>
      <c r="Z28" s="2"/>
      <c r="AA28" s="2" t="s">
        <v>232</v>
      </c>
      <c r="AB28" s="2" t="s">
        <v>144</v>
      </c>
      <c r="AC28" s="2"/>
      <c r="AD28" t="s">
        <v>335</v>
      </c>
      <c r="AE28">
        <v>700000</v>
      </c>
    </row>
    <row r="29" spans="1:31" ht="26" x14ac:dyDescent="0.2">
      <c r="A29" s="4">
        <v>28</v>
      </c>
      <c r="B29" s="4">
        <v>52</v>
      </c>
      <c r="C29" s="4" t="s">
        <v>233</v>
      </c>
      <c r="D29" s="4" t="s">
        <v>234</v>
      </c>
      <c r="E29" s="4">
        <v>1325</v>
      </c>
      <c r="F29" s="4" t="s">
        <v>235</v>
      </c>
      <c r="G29" s="4" t="s">
        <v>236</v>
      </c>
      <c r="H29" s="4" t="s">
        <v>237</v>
      </c>
      <c r="I29" s="4" t="s">
        <v>72</v>
      </c>
      <c r="J29" s="4" t="s">
        <v>238</v>
      </c>
      <c r="K29" s="4">
        <v>6</v>
      </c>
      <c r="L29" s="4" t="s">
        <v>41</v>
      </c>
      <c r="M29" s="4" t="s">
        <v>41</v>
      </c>
      <c r="N29" s="4" t="s">
        <v>51</v>
      </c>
      <c r="O29" s="4" t="s">
        <v>38</v>
      </c>
      <c r="P29" s="4">
        <v>1</v>
      </c>
      <c r="Q29" s="4" t="s">
        <v>239</v>
      </c>
      <c r="R29" s="4" t="s">
        <v>240</v>
      </c>
      <c r="S29" s="5">
        <v>4114000</v>
      </c>
      <c r="T29" s="5">
        <v>4114000</v>
      </c>
      <c r="U29" s="5">
        <v>4114000</v>
      </c>
      <c r="V29" s="4">
        <v>1</v>
      </c>
      <c r="W29" s="4" t="s">
        <v>41</v>
      </c>
      <c r="X29" s="4" t="s">
        <v>41</v>
      </c>
      <c r="Y29" s="4" t="s">
        <v>41</v>
      </c>
      <c r="Z29" s="4"/>
      <c r="AA29" s="4" t="s">
        <v>66</v>
      </c>
      <c r="AB29" s="4" t="s">
        <v>56</v>
      </c>
      <c r="AC29" s="4"/>
      <c r="AD29" t="s">
        <v>336</v>
      </c>
      <c r="AE29">
        <v>4114000</v>
      </c>
    </row>
    <row r="30" spans="1:31" ht="26" x14ac:dyDescent="0.2">
      <c r="A30" s="2">
        <v>29</v>
      </c>
      <c r="B30" s="2">
        <v>52</v>
      </c>
      <c r="C30" s="2" t="s">
        <v>241</v>
      </c>
      <c r="D30" s="2" t="s">
        <v>242</v>
      </c>
      <c r="E30" s="2">
        <v>1800000</v>
      </c>
      <c r="F30" s="2" t="s">
        <v>243</v>
      </c>
      <c r="G30" s="2" t="s">
        <v>244</v>
      </c>
      <c r="H30" s="2" t="s">
        <v>161</v>
      </c>
      <c r="I30" s="2" t="s">
        <v>162</v>
      </c>
      <c r="J30" s="2" t="s">
        <v>245</v>
      </c>
      <c r="K30" s="2">
        <v>3</v>
      </c>
      <c r="L30" s="2" t="s">
        <v>41</v>
      </c>
      <c r="M30" s="2" t="s">
        <v>41</v>
      </c>
      <c r="N30" s="2" t="s">
        <v>51</v>
      </c>
      <c r="O30" s="2" t="s">
        <v>38</v>
      </c>
      <c r="P30" s="2">
        <v>1</v>
      </c>
      <c r="Q30" s="2" t="s">
        <v>100</v>
      </c>
      <c r="R30" s="2" t="s">
        <v>246</v>
      </c>
      <c r="S30" s="3">
        <v>63352661</v>
      </c>
      <c r="T30" s="3">
        <v>17654544</v>
      </c>
      <c r="U30" s="3">
        <v>17654544</v>
      </c>
      <c r="V30" s="2">
        <v>1</v>
      </c>
      <c r="W30" s="2" t="s">
        <v>41</v>
      </c>
      <c r="X30" s="2" t="s">
        <v>41</v>
      </c>
      <c r="Y30" s="2" t="s">
        <v>41</v>
      </c>
      <c r="Z30" s="2"/>
      <c r="AA30" s="2" t="s">
        <v>247</v>
      </c>
      <c r="AB30" s="2" t="s">
        <v>56</v>
      </c>
      <c r="AC30" s="2"/>
      <c r="AD30" t="s">
        <v>328</v>
      </c>
      <c r="AE30">
        <v>17654544</v>
      </c>
    </row>
    <row r="31" spans="1:31" ht="26" x14ac:dyDescent="0.2">
      <c r="A31" s="4">
        <v>30</v>
      </c>
      <c r="B31" s="4">
        <v>52</v>
      </c>
      <c r="C31" s="4" t="s">
        <v>241</v>
      </c>
      <c r="D31" s="4" t="s">
        <v>248</v>
      </c>
      <c r="E31" s="4" t="s">
        <v>168</v>
      </c>
      <c r="F31" s="4" t="s">
        <v>243</v>
      </c>
      <c r="G31" s="4" t="s">
        <v>244</v>
      </c>
      <c r="H31" s="4" t="s">
        <v>169</v>
      </c>
      <c r="I31" s="4" t="s">
        <v>170</v>
      </c>
      <c r="J31" s="4" t="s">
        <v>245</v>
      </c>
      <c r="K31" s="4">
        <v>3</v>
      </c>
      <c r="L31" s="4" t="s">
        <v>41</v>
      </c>
      <c r="M31" s="4" t="s">
        <v>41</v>
      </c>
      <c r="N31" s="4" t="s">
        <v>51</v>
      </c>
      <c r="O31" s="4" t="s">
        <v>38</v>
      </c>
      <c r="P31" s="4">
        <v>0</v>
      </c>
      <c r="Q31" s="4" t="s">
        <v>100</v>
      </c>
      <c r="R31" s="4" t="s">
        <v>246</v>
      </c>
      <c r="S31" s="5">
        <v>0</v>
      </c>
      <c r="T31" s="5">
        <v>29775751</v>
      </c>
      <c r="U31" s="5">
        <v>29775751</v>
      </c>
      <c r="V31" s="4">
        <v>1</v>
      </c>
      <c r="W31" s="4" t="s">
        <v>41</v>
      </c>
      <c r="X31" s="4" t="s">
        <v>41</v>
      </c>
      <c r="Y31" s="4" t="s">
        <v>41</v>
      </c>
      <c r="Z31" s="4"/>
      <c r="AA31" s="4" t="s">
        <v>247</v>
      </c>
      <c r="AB31" s="4" t="s">
        <v>56</v>
      </c>
      <c r="AC31" s="4"/>
      <c r="AD31" t="s">
        <v>328</v>
      </c>
      <c r="AE31">
        <v>29775751</v>
      </c>
    </row>
    <row r="32" spans="1:31" ht="26" x14ac:dyDescent="0.2">
      <c r="A32" s="2">
        <v>31</v>
      </c>
      <c r="B32" s="2">
        <v>45</v>
      </c>
      <c r="C32" s="2" t="s">
        <v>249</v>
      </c>
      <c r="D32" s="2" t="s">
        <v>250</v>
      </c>
      <c r="E32" s="2">
        <v>108600</v>
      </c>
      <c r="F32" s="2" t="s">
        <v>251</v>
      </c>
      <c r="G32" s="2" t="s">
        <v>252</v>
      </c>
      <c r="H32" s="2" t="s">
        <v>116</v>
      </c>
      <c r="I32" s="2" t="s">
        <v>117</v>
      </c>
      <c r="J32" s="2" t="s">
        <v>118</v>
      </c>
      <c r="K32" s="2">
        <v>6</v>
      </c>
      <c r="L32" s="2" t="s">
        <v>41</v>
      </c>
      <c r="M32" s="2">
        <v>2</v>
      </c>
      <c r="N32" s="2" t="s">
        <v>51</v>
      </c>
      <c r="O32" s="2" t="s">
        <v>38</v>
      </c>
      <c r="P32" s="2">
        <v>1</v>
      </c>
      <c r="Q32" s="2" t="s">
        <v>53</v>
      </c>
      <c r="R32" s="2" t="s">
        <v>65</v>
      </c>
      <c r="S32" s="3">
        <v>1150000</v>
      </c>
      <c r="T32" s="3">
        <v>1000000</v>
      </c>
      <c r="U32" s="3">
        <v>1000000</v>
      </c>
      <c r="V32" s="2">
        <v>1</v>
      </c>
      <c r="W32" s="2" t="s">
        <v>41</v>
      </c>
      <c r="X32" s="2" t="s">
        <v>41</v>
      </c>
      <c r="Y32" s="2" t="s">
        <v>41</v>
      </c>
      <c r="Z32" s="2"/>
      <c r="AA32" s="2" t="s">
        <v>100</v>
      </c>
      <c r="AB32" s="2" t="s">
        <v>43</v>
      </c>
      <c r="AC32" s="2"/>
      <c r="AD32" t="s">
        <v>331</v>
      </c>
      <c r="AE32">
        <v>1000000</v>
      </c>
    </row>
    <row r="33" spans="1:31" ht="26" x14ac:dyDescent="0.2">
      <c r="A33" s="4">
        <v>32</v>
      </c>
      <c r="B33" s="4">
        <v>42</v>
      </c>
      <c r="C33" s="4" t="s">
        <v>253</v>
      </c>
      <c r="D33" s="4" t="s">
        <v>254</v>
      </c>
      <c r="E33" s="4">
        <v>600000</v>
      </c>
      <c r="F33" s="4" t="s">
        <v>255</v>
      </c>
      <c r="G33" s="4" t="s">
        <v>256</v>
      </c>
      <c r="H33" s="4" t="s">
        <v>161</v>
      </c>
      <c r="I33" s="4" t="s">
        <v>162</v>
      </c>
      <c r="J33" s="4" t="s">
        <v>257</v>
      </c>
      <c r="K33" s="4">
        <v>7</v>
      </c>
      <c r="L33" s="4" t="s">
        <v>41</v>
      </c>
      <c r="M33" s="4" t="s">
        <v>41</v>
      </c>
      <c r="N33" s="4" t="s">
        <v>51</v>
      </c>
      <c r="O33" s="4" t="s">
        <v>38</v>
      </c>
      <c r="P33" s="4">
        <v>1</v>
      </c>
      <c r="Q33" s="4" t="s">
        <v>91</v>
      </c>
      <c r="R33" s="4" t="s">
        <v>213</v>
      </c>
      <c r="S33" s="5">
        <v>10484177</v>
      </c>
      <c r="T33" s="5">
        <v>10484177</v>
      </c>
      <c r="U33" s="5">
        <v>10484177</v>
      </c>
      <c r="V33" s="4">
        <v>1</v>
      </c>
      <c r="W33" s="4" t="s">
        <v>41</v>
      </c>
      <c r="X33" s="4" t="s">
        <v>41</v>
      </c>
      <c r="Y33" s="4" t="s">
        <v>41</v>
      </c>
      <c r="Z33" s="4"/>
      <c r="AA33" s="4" t="s">
        <v>225</v>
      </c>
      <c r="AB33" s="4" t="s">
        <v>56</v>
      </c>
      <c r="AC33" s="4"/>
      <c r="AD33" t="s">
        <v>337</v>
      </c>
      <c r="AE33">
        <v>10484177</v>
      </c>
    </row>
    <row r="34" spans="1:31" ht="26" x14ac:dyDescent="0.2">
      <c r="A34" s="2">
        <v>33</v>
      </c>
      <c r="B34" s="2">
        <v>42</v>
      </c>
      <c r="C34" s="2" t="s">
        <v>258</v>
      </c>
      <c r="D34" s="2" t="s">
        <v>259</v>
      </c>
      <c r="E34" s="2">
        <v>600000</v>
      </c>
      <c r="F34" s="2" t="s">
        <v>255</v>
      </c>
      <c r="G34" s="2" t="s">
        <v>260</v>
      </c>
      <c r="H34" s="2" t="s">
        <v>161</v>
      </c>
      <c r="I34" s="2" t="s">
        <v>162</v>
      </c>
      <c r="J34" s="2" t="s">
        <v>261</v>
      </c>
      <c r="K34" s="2">
        <v>7</v>
      </c>
      <c r="L34" s="2" t="s">
        <v>41</v>
      </c>
      <c r="M34" s="2" t="s">
        <v>41</v>
      </c>
      <c r="N34" s="2" t="s">
        <v>51</v>
      </c>
      <c r="O34" s="2" t="s">
        <v>38</v>
      </c>
      <c r="P34" s="2">
        <v>1</v>
      </c>
      <c r="Q34" s="2" t="s">
        <v>262</v>
      </c>
      <c r="R34" s="2" t="s">
        <v>263</v>
      </c>
      <c r="S34" s="3">
        <v>24232901</v>
      </c>
      <c r="T34" s="3">
        <v>24232901</v>
      </c>
      <c r="U34" s="3">
        <v>24232901</v>
      </c>
      <c r="V34" s="2">
        <v>1</v>
      </c>
      <c r="W34" s="2" t="s">
        <v>41</v>
      </c>
      <c r="X34" s="2" t="s">
        <v>41</v>
      </c>
      <c r="Y34" s="2" t="s">
        <v>41</v>
      </c>
      <c r="Z34" s="2"/>
      <c r="AA34" s="2" t="s">
        <v>55</v>
      </c>
      <c r="AB34" s="2" t="s">
        <v>56</v>
      </c>
      <c r="AC34" s="2"/>
      <c r="AD34" t="s">
        <v>338</v>
      </c>
      <c r="AE34">
        <v>24232901</v>
      </c>
    </row>
    <row r="35" spans="1:31" ht="26" x14ac:dyDescent="0.2">
      <c r="A35" s="4">
        <v>34</v>
      </c>
      <c r="B35" s="4">
        <v>42</v>
      </c>
      <c r="C35" s="4" t="s">
        <v>264</v>
      </c>
      <c r="D35" s="4" t="s">
        <v>265</v>
      </c>
      <c r="E35" s="4">
        <v>600000</v>
      </c>
      <c r="F35" s="4" t="s">
        <v>255</v>
      </c>
      <c r="G35" s="4" t="s">
        <v>266</v>
      </c>
      <c r="H35" s="4" t="s">
        <v>161</v>
      </c>
      <c r="I35" s="4" t="s">
        <v>162</v>
      </c>
      <c r="J35" s="4" t="s">
        <v>267</v>
      </c>
      <c r="K35" s="4" t="s">
        <v>268</v>
      </c>
      <c r="L35" s="4" t="s">
        <v>41</v>
      </c>
      <c r="M35" s="4" t="s">
        <v>41</v>
      </c>
      <c r="N35" s="4" t="s">
        <v>51</v>
      </c>
      <c r="O35" s="4" t="s">
        <v>38</v>
      </c>
      <c r="P35" s="4">
        <v>1</v>
      </c>
      <c r="Q35" s="4" t="s">
        <v>91</v>
      </c>
      <c r="R35" s="4" t="s">
        <v>269</v>
      </c>
      <c r="S35" s="5">
        <v>14327306</v>
      </c>
      <c r="T35" s="5">
        <v>14327306</v>
      </c>
      <c r="U35" s="5">
        <v>14327306</v>
      </c>
      <c r="V35" s="4">
        <v>1</v>
      </c>
      <c r="W35" s="4" t="s">
        <v>41</v>
      </c>
      <c r="X35" s="4" t="s">
        <v>41</v>
      </c>
      <c r="Y35" s="4" t="s">
        <v>41</v>
      </c>
      <c r="Z35" s="4"/>
      <c r="AA35" s="4" t="s">
        <v>225</v>
      </c>
      <c r="AB35" s="4" t="s">
        <v>56</v>
      </c>
      <c r="AC35" s="4"/>
      <c r="AD35" t="s">
        <v>338</v>
      </c>
      <c r="AE35">
        <v>14327306</v>
      </c>
    </row>
    <row r="36" spans="1:31" ht="26" x14ac:dyDescent="0.2">
      <c r="A36" s="2">
        <v>35</v>
      </c>
      <c r="B36" s="2">
        <v>42</v>
      </c>
      <c r="C36" s="2" t="s">
        <v>270</v>
      </c>
      <c r="D36" s="2" t="s">
        <v>271</v>
      </c>
      <c r="E36" s="2">
        <v>1800000</v>
      </c>
      <c r="F36" s="2" t="s">
        <v>243</v>
      </c>
      <c r="G36" s="2" t="s">
        <v>272</v>
      </c>
      <c r="H36" s="2" t="s">
        <v>161</v>
      </c>
      <c r="I36" s="2" t="s">
        <v>162</v>
      </c>
      <c r="J36" s="2" t="s">
        <v>273</v>
      </c>
      <c r="K36" s="2">
        <v>7</v>
      </c>
      <c r="L36" s="2" t="s">
        <v>41</v>
      </c>
      <c r="M36" s="2" t="s">
        <v>41</v>
      </c>
      <c r="N36" s="2" t="s">
        <v>51</v>
      </c>
      <c r="O36" s="2" t="s">
        <v>38</v>
      </c>
      <c r="P36" s="2">
        <v>1</v>
      </c>
      <c r="Q36" s="2" t="s">
        <v>100</v>
      </c>
      <c r="R36" s="2" t="s">
        <v>274</v>
      </c>
      <c r="S36" s="3">
        <v>72118232</v>
      </c>
      <c r="T36" s="3">
        <v>33949188</v>
      </c>
      <c r="U36" s="3">
        <v>33949188</v>
      </c>
      <c r="V36" s="2">
        <v>1</v>
      </c>
      <c r="W36" s="2" t="s">
        <v>41</v>
      </c>
      <c r="X36" s="2" t="s">
        <v>41</v>
      </c>
      <c r="Y36" s="2" t="s">
        <v>41</v>
      </c>
      <c r="Z36" s="2"/>
      <c r="AA36" s="2" t="s">
        <v>275</v>
      </c>
      <c r="AB36" s="2" t="s">
        <v>56</v>
      </c>
      <c r="AC36" s="2"/>
      <c r="AD36" t="s">
        <v>328</v>
      </c>
      <c r="AE36">
        <v>33949188</v>
      </c>
    </row>
    <row r="37" spans="1:31" ht="26" x14ac:dyDescent="0.2">
      <c r="A37" s="4">
        <v>36</v>
      </c>
      <c r="B37" s="4">
        <v>42</v>
      </c>
      <c r="C37" s="4" t="s">
        <v>270</v>
      </c>
      <c r="D37" s="4" t="s">
        <v>276</v>
      </c>
      <c r="E37" s="4" t="s">
        <v>168</v>
      </c>
      <c r="F37" s="4" t="s">
        <v>243</v>
      </c>
      <c r="G37" s="4" t="s">
        <v>272</v>
      </c>
      <c r="H37" s="4" t="s">
        <v>169</v>
      </c>
      <c r="I37" s="4" t="s">
        <v>170</v>
      </c>
      <c r="J37" s="4" t="s">
        <v>273</v>
      </c>
      <c r="K37" s="4">
        <v>7</v>
      </c>
      <c r="L37" s="4" t="s">
        <v>41</v>
      </c>
      <c r="M37" s="4" t="s">
        <v>41</v>
      </c>
      <c r="N37" s="4" t="s">
        <v>51</v>
      </c>
      <c r="O37" s="4" t="s">
        <v>38</v>
      </c>
      <c r="P37" s="4">
        <v>0</v>
      </c>
      <c r="Q37" s="4" t="s">
        <v>100</v>
      </c>
      <c r="R37" s="4" t="s">
        <v>274</v>
      </c>
      <c r="S37" s="5">
        <v>0</v>
      </c>
      <c r="T37" s="5">
        <v>28847293</v>
      </c>
      <c r="U37" s="5">
        <v>28847293</v>
      </c>
      <c r="V37" s="4">
        <v>1</v>
      </c>
      <c r="W37" s="4" t="s">
        <v>41</v>
      </c>
      <c r="X37" s="4" t="s">
        <v>41</v>
      </c>
      <c r="Y37" s="4" t="s">
        <v>41</v>
      </c>
      <c r="Z37" s="4"/>
      <c r="AA37" s="4" t="s">
        <v>275</v>
      </c>
      <c r="AB37" s="4" t="s">
        <v>56</v>
      </c>
      <c r="AC37" s="4"/>
      <c r="AD37" t="s">
        <v>328</v>
      </c>
      <c r="AE37">
        <v>28847293</v>
      </c>
    </row>
    <row r="38" spans="1:31" ht="26" x14ac:dyDescent="0.2">
      <c r="A38" s="2">
        <v>37</v>
      </c>
      <c r="B38" s="2">
        <v>40</v>
      </c>
      <c r="C38" s="2" t="s">
        <v>277</v>
      </c>
      <c r="D38" s="2" t="s">
        <v>278</v>
      </c>
      <c r="E38" s="2">
        <v>4478</v>
      </c>
      <c r="F38" s="2" t="s">
        <v>279</v>
      </c>
      <c r="G38" s="2" t="s">
        <v>280</v>
      </c>
      <c r="H38" s="2" t="s">
        <v>281</v>
      </c>
      <c r="I38" s="2" t="s">
        <v>117</v>
      </c>
      <c r="J38" s="2" t="s">
        <v>150</v>
      </c>
      <c r="K38" s="2">
        <v>6</v>
      </c>
      <c r="L38" s="2" t="s">
        <v>41</v>
      </c>
      <c r="M38" s="2" t="s">
        <v>41</v>
      </c>
      <c r="N38" s="2" t="s">
        <v>51</v>
      </c>
      <c r="O38" s="2" t="s">
        <v>52</v>
      </c>
      <c r="P38" s="2">
        <v>0</v>
      </c>
      <c r="Q38" s="2" t="s">
        <v>64</v>
      </c>
      <c r="R38" s="2" t="s">
        <v>92</v>
      </c>
      <c r="S38" s="3">
        <v>1653123</v>
      </c>
      <c r="T38" s="3">
        <v>1002100</v>
      </c>
      <c r="U38" s="3">
        <v>1002100</v>
      </c>
      <c r="V38" s="2">
        <v>1</v>
      </c>
      <c r="W38" s="2" t="s">
        <v>41</v>
      </c>
      <c r="X38" s="2"/>
      <c r="Y38" s="2"/>
      <c r="Z38" s="2"/>
      <c r="AA38" s="2" t="s">
        <v>206</v>
      </c>
      <c r="AB38" s="2" t="s">
        <v>56</v>
      </c>
      <c r="AC38" s="2"/>
      <c r="AD38" t="s">
        <v>339</v>
      </c>
      <c r="AE38">
        <v>1002100</v>
      </c>
    </row>
    <row r="39" spans="1:31" ht="26" x14ac:dyDescent="0.2">
      <c r="A39" s="4">
        <v>38</v>
      </c>
      <c r="B39" s="4">
        <v>40</v>
      </c>
      <c r="C39" s="4" t="s">
        <v>282</v>
      </c>
      <c r="D39" s="4" t="s">
        <v>283</v>
      </c>
      <c r="E39" s="4">
        <v>2100000</v>
      </c>
      <c r="F39" s="4" t="s">
        <v>284</v>
      </c>
      <c r="G39" s="4" t="s">
        <v>285</v>
      </c>
      <c r="H39" s="4" t="s">
        <v>286</v>
      </c>
      <c r="I39" s="4" t="s">
        <v>125</v>
      </c>
      <c r="J39" s="4" t="s">
        <v>287</v>
      </c>
      <c r="K39" s="4">
        <v>4</v>
      </c>
      <c r="L39" s="4" t="s">
        <v>41</v>
      </c>
      <c r="M39" s="4" t="s">
        <v>41</v>
      </c>
      <c r="N39" s="4" t="s">
        <v>51</v>
      </c>
      <c r="O39" s="4" t="s">
        <v>38</v>
      </c>
      <c r="P39" s="4">
        <v>0</v>
      </c>
      <c r="Q39" s="4" t="s">
        <v>66</v>
      </c>
      <c r="R39" s="4" t="s">
        <v>189</v>
      </c>
      <c r="S39" s="5">
        <v>42838000</v>
      </c>
      <c r="T39" s="5">
        <v>21414000</v>
      </c>
      <c r="U39" s="5">
        <v>21414000</v>
      </c>
      <c r="V39" s="4">
        <v>1</v>
      </c>
      <c r="W39" s="4" t="s">
        <v>41</v>
      </c>
      <c r="X39" s="4" t="s">
        <v>41</v>
      </c>
      <c r="Y39" s="4" t="s">
        <v>41</v>
      </c>
      <c r="Z39" s="4"/>
      <c r="AA39" s="4" t="s">
        <v>288</v>
      </c>
      <c r="AB39" s="4" t="s">
        <v>144</v>
      </c>
      <c r="AC39" s="4"/>
      <c r="AD39" t="s">
        <v>325</v>
      </c>
      <c r="AE39">
        <v>21414000</v>
      </c>
    </row>
    <row r="40" spans="1:31" ht="26" x14ac:dyDescent="0.2">
      <c r="A40" s="2">
        <v>39</v>
      </c>
      <c r="B40" s="2">
        <v>37</v>
      </c>
      <c r="C40" s="2" t="s">
        <v>289</v>
      </c>
      <c r="D40" s="2" t="s">
        <v>290</v>
      </c>
      <c r="E40" s="2">
        <v>1585</v>
      </c>
      <c r="F40" s="2" t="s">
        <v>255</v>
      </c>
      <c r="G40" s="2" t="s">
        <v>291</v>
      </c>
      <c r="H40" s="2" t="s">
        <v>161</v>
      </c>
      <c r="I40" s="2" t="s">
        <v>162</v>
      </c>
      <c r="J40" s="2" t="s">
        <v>267</v>
      </c>
      <c r="K40" s="2">
        <v>3</v>
      </c>
      <c r="L40" s="2" t="s">
        <v>41</v>
      </c>
      <c r="M40" s="2" t="s">
        <v>41</v>
      </c>
      <c r="N40" s="2" t="s">
        <v>51</v>
      </c>
      <c r="O40" s="2" t="s">
        <v>38</v>
      </c>
      <c r="P40" s="2">
        <v>1</v>
      </c>
      <c r="Q40" s="2" t="s">
        <v>84</v>
      </c>
      <c r="R40" s="2" t="s">
        <v>292</v>
      </c>
      <c r="S40" s="3">
        <v>119423360</v>
      </c>
      <c r="T40" s="3">
        <v>11942336</v>
      </c>
      <c r="U40" s="3">
        <v>11942336</v>
      </c>
      <c r="V40" s="2">
        <v>1</v>
      </c>
      <c r="W40" s="2" t="s">
        <v>41</v>
      </c>
      <c r="X40" s="2" t="s">
        <v>41</v>
      </c>
      <c r="Y40" s="2" t="s">
        <v>41</v>
      </c>
      <c r="Z40" s="2"/>
      <c r="AA40" s="2" t="s">
        <v>293</v>
      </c>
      <c r="AB40" s="2" t="s">
        <v>56</v>
      </c>
      <c r="AC40" s="2"/>
      <c r="AD40" t="s">
        <v>338</v>
      </c>
      <c r="AE40">
        <v>11942336</v>
      </c>
    </row>
    <row r="41" spans="1:31" ht="26" x14ac:dyDescent="0.2">
      <c r="A41" s="4">
        <v>40</v>
      </c>
      <c r="B41" s="4">
        <v>37</v>
      </c>
      <c r="C41" s="4" t="s">
        <v>294</v>
      </c>
      <c r="D41" s="4" t="s">
        <v>295</v>
      </c>
      <c r="E41" s="4">
        <v>1585</v>
      </c>
      <c r="F41" s="4" t="s">
        <v>255</v>
      </c>
      <c r="G41" s="4" t="s">
        <v>296</v>
      </c>
      <c r="H41" s="4" t="s">
        <v>161</v>
      </c>
      <c r="I41" s="4" t="s">
        <v>162</v>
      </c>
      <c r="J41" s="4" t="s">
        <v>257</v>
      </c>
      <c r="K41" s="4">
        <v>1</v>
      </c>
      <c r="L41" s="4" t="s">
        <v>41</v>
      </c>
      <c r="M41" s="4" t="s">
        <v>41</v>
      </c>
      <c r="N41" s="4" t="s">
        <v>51</v>
      </c>
      <c r="O41" s="4" t="s">
        <v>38</v>
      </c>
      <c r="P41" s="4">
        <v>1</v>
      </c>
      <c r="Q41" s="4" t="s">
        <v>53</v>
      </c>
      <c r="R41" s="4" t="s">
        <v>213</v>
      </c>
      <c r="S41" s="5">
        <v>16002796</v>
      </c>
      <c r="T41" s="5">
        <v>16002796</v>
      </c>
      <c r="U41" s="5">
        <v>16002796</v>
      </c>
      <c r="V41" s="4">
        <v>1</v>
      </c>
      <c r="W41" s="4" t="s">
        <v>41</v>
      </c>
      <c r="X41" s="4" t="s">
        <v>41</v>
      </c>
      <c r="Y41" s="4" t="s">
        <v>41</v>
      </c>
      <c r="Z41" s="4"/>
      <c r="AA41" s="4" t="s">
        <v>76</v>
      </c>
      <c r="AB41" s="4" t="s">
        <v>56</v>
      </c>
      <c r="AC41" s="4"/>
      <c r="AD41" t="s">
        <v>338</v>
      </c>
      <c r="AE41">
        <v>16002796</v>
      </c>
    </row>
    <row r="42" spans="1:31" ht="26" x14ac:dyDescent="0.2">
      <c r="A42" s="2">
        <v>41</v>
      </c>
      <c r="B42" s="2">
        <v>37</v>
      </c>
      <c r="C42" s="2" t="s">
        <v>297</v>
      </c>
      <c r="D42" s="2" t="s">
        <v>298</v>
      </c>
      <c r="E42" s="2">
        <v>1628</v>
      </c>
      <c r="F42" s="2" t="s">
        <v>255</v>
      </c>
      <c r="G42" s="2" t="s">
        <v>299</v>
      </c>
      <c r="H42" s="2" t="s">
        <v>161</v>
      </c>
      <c r="I42" s="2" t="s">
        <v>162</v>
      </c>
      <c r="J42" s="2" t="s">
        <v>261</v>
      </c>
      <c r="K42" s="2" t="s">
        <v>261</v>
      </c>
      <c r="L42" s="2" t="s">
        <v>41</v>
      </c>
      <c r="M42" s="2" t="s">
        <v>41</v>
      </c>
      <c r="N42" s="2" t="s">
        <v>51</v>
      </c>
      <c r="O42" s="2" t="s">
        <v>38</v>
      </c>
      <c r="P42" s="2">
        <v>1</v>
      </c>
      <c r="Q42" s="2" t="s">
        <v>206</v>
      </c>
      <c r="R42" s="2" t="s">
        <v>142</v>
      </c>
      <c r="S42" s="3">
        <v>13900478</v>
      </c>
      <c r="T42" s="3">
        <v>13900478</v>
      </c>
      <c r="U42" s="3">
        <v>13900478</v>
      </c>
      <c r="V42" s="2">
        <v>1</v>
      </c>
      <c r="W42" s="2" t="s">
        <v>41</v>
      </c>
      <c r="X42" s="2" t="s">
        <v>41</v>
      </c>
      <c r="Y42" s="2" t="s">
        <v>41</v>
      </c>
      <c r="Z42" s="2"/>
      <c r="AA42" s="2" t="s">
        <v>300</v>
      </c>
      <c r="AB42" s="2" t="s">
        <v>56</v>
      </c>
      <c r="AC42" s="2"/>
      <c r="AD42" t="s">
        <v>338</v>
      </c>
      <c r="AE42">
        <v>13900478</v>
      </c>
    </row>
    <row r="43" spans="1:31" ht="26" x14ac:dyDescent="0.2">
      <c r="A43" s="4">
        <v>42</v>
      </c>
      <c r="B43" s="4">
        <v>35</v>
      </c>
      <c r="C43" s="4" t="s">
        <v>301</v>
      </c>
      <c r="D43" s="4" t="s">
        <v>302</v>
      </c>
      <c r="E43" s="4">
        <v>2010</v>
      </c>
      <c r="F43" s="4" t="s">
        <v>303</v>
      </c>
      <c r="G43" s="4" t="s">
        <v>304</v>
      </c>
      <c r="H43" s="4" t="s">
        <v>305</v>
      </c>
      <c r="I43" s="4" t="s">
        <v>306</v>
      </c>
      <c r="J43" s="4" t="s">
        <v>118</v>
      </c>
      <c r="K43" s="4">
        <v>5</v>
      </c>
      <c r="L43" s="4" t="s">
        <v>168</v>
      </c>
      <c r="M43" s="4" t="s">
        <v>168</v>
      </c>
      <c r="N43" s="4" t="s">
        <v>51</v>
      </c>
      <c r="O43" s="4" t="s">
        <v>52</v>
      </c>
      <c r="P43" s="4">
        <v>0</v>
      </c>
      <c r="Q43" s="4" t="s">
        <v>262</v>
      </c>
      <c r="R43" s="4" t="s">
        <v>307</v>
      </c>
      <c r="S43" s="5">
        <v>1500000</v>
      </c>
      <c r="T43" s="5">
        <v>1500000</v>
      </c>
      <c r="U43" s="5">
        <v>1500000</v>
      </c>
      <c r="V43" s="4">
        <v>1</v>
      </c>
      <c r="W43" s="4" t="s">
        <v>41</v>
      </c>
      <c r="X43" s="4"/>
      <c r="Y43" s="4"/>
      <c r="Z43" s="4"/>
      <c r="AA43" s="4" t="s">
        <v>74</v>
      </c>
      <c r="AB43" s="4" t="s">
        <v>56</v>
      </c>
      <c r="AC43" s="4"/>
      <c r="AD43" t="s">
        <v>326</v>
      </c>
      <c r="AE43">
        <v>1500000</v>
      </c>
    </row>
    <row r="44" spans="1:31" ht="26" x14ac:dyDescent="0.2">
      <c r="A44" s="2">
        <v>43</v>
      </c>
      <c r="B44" s="2">
        <v>25</v>
      </c>
      <c r="C44" s="2" t="s">
        <v>308</v>
      </c>
      <c r="D44" s="2" t="s">
        <v>309</v>
      </c>
      <c r="E44" s="2">
        <v>770</v>
      </c>
      <c r="F44" s="2" t="s">
        <v>310</v>
      </c>
      <c r="G44" s="2" t="s">
        <v>311</v>
      </c>
      <c r="H44" s="2" t="s">
        <v>312</v>
      </c>
      <c r="I44" s="2" t="s">
        <v>313</v>
      </c>
      <c r="J44" s="2" t="s">
        <v>314</v>
      </c>
      <c r="K44" s="2">
        <v>1</v>
      </c>
      <c r="L44" s="2" t="s">
        <v>41</v>
      </c>
      <c r="M44" s="2">
        <v>2</v>
      </c>
      <c r="N44" s="2" t="s">
        <v>37</v>
      </c>
      <c r="O44" s="2" t="s">
        <v>52</v>
      </c>
      <c r="P44" s="2">
        <v>1</v>
      </c>
      <c r="Q44" s="2" t="s">
        <v>315</v>
      </c>
      <c r="R44" s="2" t="s">
        <v>99</v>
      </c>
      <c r="S44" s="3">
        <v>141378</v>
      </c>
      <c r="T44" s="3">
        <v>141378</v>
      </c>
      <c r="U44" s="3">
        <v>141378</v>
      </c>
      <c r="V44" s="2">
        <v>1</v>
      </c>
      <c r="W44" s="2" t="s">
        <v>41</v>
      </c>
      <c r="X44" s="2"/>
      <c r="Y44" s="2"/>
      <c r="Z44" s="2" t="s">
        <v>108</v>
      </c>
      <c r="AA44" s="2" t="s">
        <v>39</v>
      </c>
      <c r="AB44" s="2" t="s">
        <v>144</v>
      </c>
      <c r="AC44" s="2"/>
      <c r="AD44" t="s">
        <v>340</v>
      </c>
      <c r="AE44">
        <v>141378</v>
      </c>
    </row>
    <row r="45" spans="1:31" x14ac:dyDescent="0.2">
      <c r="S45" s="6">
        <f>SUM(S2:S44)</f>
        <v>580457198</v>
      </c>
    </row>
  </sheetData>
  <autoFilter ref="A1:AC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 FY2022 SFY2024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Sevillano</cp:lastModifiedBy>
  <dcterms:created xsi:type="dcterms:W3CDTF">2026-03-12T19:05:56Z</dcterms:created>
  <dcterms:modified xsi:type="dcterms:W3CDTF">2026-03-26T02:28:33Z</dcterms:modified>
</cp:coreProperties>
</file>